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7da5273bf41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c99c2127064544f9"/>
    <x:sheet xmlns:r="http://schemas.openxmlformats.org/officeDocument/2006/relationships" name="Resumen" sheetId="2" r:id="R063bab86c7344cee"/>
    <x:sheet xmlns:r="http://schemas.openxmlformats.org/officeDocument/2006/relationships" name="Funnel" sheetId="3" r:id="R4c4191d9143f4ae8"/>
    <x:sheet xmlns:r="http://schemas.openxmlformats.org/officeDocument/2006/relationships" name="Campañas" sheetId="4" r:id="R3d6a043227d0415a"/>
    <x:sheet xmlns:r="http://schemas.openxmlformats.org/officeDocument/2006/relationships" name="Email" sheetId="5" r:id="R02032c39c8d74923"/>
    <x:sheet xmlns:r="http://schemas.openxmlformats.org/officeDocument/2006/relationships" name="Fuentes" sheetId="6" r:id="Rbd8977c9b19d4b04"/>
    <x:sheet xmlns:r="http://schemas.openxmlformats.org/officeDocument/2006/relationships" name="Estructura Meta" sheetId="7" r:id="Rab009ebd166b42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"/>
    <x:numFmt numFmtId="201" formatCode="0%"/>
    <x:numFmt numFmtId="202" formatCode="0"/>
    <x:numFmt numFmtId="203" formatCode="0.0%"/>
    <x:numFmt numFmtId="204" formatCode="#,##0"/>
    <x:numFmt numFmtId="205" formatCode="0.00%"/>
  </x:numFmts>
  <x:fonts count="12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color rgb="1F2937"/>
      <x:name val="Carlito"/>
    </x:font>
    <x:font>
      <x:b/>
      <x:sz val="16"/>
      <x:color rgb="FFFFFF"/>
      <x:name val="Carlito"/>
    </x:font>
    <x:font>
      <x:b/>
      <x:sz val="16"/>
      <x:color rgb="1F2937"/>
      <x:name val="Carlito"/>
    </x:font>
    <x:font>
      <x:b/>
      <x:sz val="12"/>
      <x:color rgb="FFFFFF"/>
      <x:name val="Carlito"/>
    </x:font>
    <x:font>
      <x:b/>
      <x:sz val="15"/>
      <x:color rgb="1F2937"/>
      <x:name val="Carlito"/>
    </x:font>
    <x:font>
      <x:b/>
      <x:sz val="14"/>
      <x:color rgb="1F2937"/>
      <x:name val="Carlito"/>
    </x:font>
    <x:font>
      <x:b/>
      <x:sz val="11"/>
      <x:color rgb="D1D5DB"/>
      <x:name val="Carlito"/>
    </x:font>
    <x:font>
      <x:b/>
      <x:sz val="11"/>
      <x:color rgb="E5E7EB"/>
      <x:name val="Carlito"/>
    </x:font>
    <x:font>
      <x:sz val="11"/>
      <x:color rgb="E5E7EB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143D59"/>
      </x:patternFill>
    </x:fill>
    <x:fill>
      <x:patternFill patternType="solid">
        <x:fgColor rgb="F5F7FA"/>
      </x:patternFill>
    </x:fill>
    <x:fill>
      <x:patternFill patternType="solid">
        <x:fgColor rgb="D9EAF7"/>
      </x:patternFill>
    </x:fill>
    <x:fill>
      <x:patternFill patternType="solid">
        <x:fgColor rgb="F4B942"/>
      </x:patternFill>
    </x:fill>
    <x:fill>
      <x:patternFill patternType="solid">
        <x:fgColor rgb="FFFFFF"/>
      </x:patternFill>
    </x:fill>
    <x:fill>
      <x:patternFill patternType="solid">
        <x:fgColor rgb="2E86C1"/>
      </x:patternFill>
    </x:fill>
    <x:fill>
      <x:patternFill patternType="solid">
        <x:fgColor rgb="2E8B57"/>
      </x:patternFill>
    </x:fill>
    <x:fill>
      <x:patternFill patternType="solid">
        <x:fgColor rgb="F59E0B"/>
      </x:patternFill>
    </x:fill>
    <x:fill>
      <x:patternFill patternType="solid">
        <x:fgColor rgb="EAB308"/>
      </x:patternFill>
    </x:fill>
    <x:fill>
      <x:patternFill patternType="solid">
        <x:fgColor rgb="10B981"/>
      </x:patternFill>
    </x:fill>
    <x:fill>
      <x:patternFill patternType="solid">
        <x:fgColor rgb="0B0F14"/>
      </x:patternFill>
    </x:fill>
    <x:fill>
      <x:patternFill patternType="solid">
        <x:fgColor rgb="111827"/>
      </x:patternFill>
    </x:fill>
    <x:fill>
      <x:patternFill patternType="solid">
        <x:fgColor rgb="F97316"/>
      </x:patternFill>
    </x:fill>
    <x:fill>
      <x:patternFill patternType="solid">
        <x:fgColor rgb="0F172A"/>
      </x:patternFill>
    </x:fill>
  </x:fills>
  <x:borders count="18">
    <x:border/>
    <x:border>
      <x:left>
        <x:color rgb="D0D7DE"/>
      </x:left>
      <x:top>
        <x:color rgb="D0D7DE"/>
      </x:top>
    </x:border>
    <x:border>
      <x:right>
        <x:color rgb="D0D7DE"/>
      </x:right>
      <x:top>
        <x:color rgb="D0D7DE"/>
      </x:top>
    </x:border>
    <x:border>
      <x:left>
        <x:color rgb="D0D7DE"/>
      </x:left>
    </x:border>
    <x:border>
      <x:right>
        <x:color rgb="D0D7DE"/>
      </x:right>
    </x:border>
    <x:border>
      <x:left>
        <x:color rgb="D0D7DE"/>
      </x:left>
      <x:bottom>
        <x:color rgb="D0D7DE"/>
      </x:bottom>
    </x:border>
    <x:border>
      <x:right>
        <x:color rgb="D0D7DE"/>
      </x:right>
      <x:bottom>
        <x:color rgb="D0D7DE"/>
      </x:bottom>
    </x:border>
    <x:border>
      <x:top>
        <x:color rgb="D0D7DE"/>
      </x:top>
    </x:border>
    <x:border>
      <x:bottom>
        <x:color rgb="D0D7DE"/>
      </x:bottom>
    </x:border>
    <x:border>
      <x:left>
        <x:color rgb="D0D7DE"/>
      </x:left>
      <x:right>
        <x:color rgb="D0D7DE"/>
      </x:right>
      <x:top>
        <x:color rgb="D0D7DE"/>
      </x:top>
      <x:bottom>
        <x:color rgb="D0D7DE"/>
      </x:bottom>
    </x:border>
    <x:border>
      <x:left style="thin">
        <x:color rgb="374151"/>
      </x:left>
      <x:top style="thin">
        <x:color rgb="374151"/>
      </x:top>
    </x:border>
    <x:border>
      <x:top style="thin">
        <x:color rgb="374151"/>
      </x:top>
    </x:border>
    <x:border>
      <x:right style="thin">
        <x:color rgb="374151"/>
      </x:right>
      <x:top style="thin">
        <x:color rgb="374151"/>
      </x:top>
    </x:border>
    <x:border>
      <x:left style="thin">
        <x:color rgb="374151"/>
      </x:left>
    </x:border>
    <x:border>
      <x:right style="thin">
        <x:color rgb="374151"/>
      </x:right>
    </x:border>
    <x:border>
      <x:left style="thin">
        <x:color rgb="374151"/>
      </x:left>
      <x:bottom style="thin">
        <x:color rgb="374151"/>
      </x:bottom>
    </x:border>
    <x:border>
      <x:bottom style="thin">
        <x:color rgb="374151"/>
      </x:bottom>
    </x:border>
    <x:border>
      <x:right style="thin">
        <x:color rgb="374151"/>
      </x:right>
      <x:bottom style="thin">
        <x:color rgb="374151"/>
      </x:bottom>
    </x:border>
  </x:borders>
  <x:cellStyleXfs count="1">
    <x:xf numFmtId="0" fontId="0" fillId="0" borderId="0"/>
  </x:cellStyleXfs>
  <x:cellXfs count="2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2" borderId="1" xfId="0" applyNumberFormat="1" applyFont="1" applyFill="1" applyBorder="1"/>
    <x:xf numFmtId="0" fontId="0" fillId="2" borderId="2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0" fillId="3" borderId="3" xfId="0" applyNumberFormat="1" applyFont="1" applyFill="1" applyBorder="1"/>
    <x:xf numFmtId="0" fontId="0" fillId="3" borderId="5" xfId="0" applyNumberFormat="1" applyFont="1" applyFill="1" applyBorder="1"/>
    <x:xf numFmtId="0" fontId="3" fillId="3" borderId="3" xfId="0" applyNumberFormat="1" applyFont="1" applyFill="1" applyBorder="1"/>
    <x:xf numFmtId="0" fontId="3" fillId="3" borderId="5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201" fontId="0" fillId="0" borderId="6" xfId="0" applyNumberFormat="1" applyFont="1" applyFill="1" applyBorder="1"/>
    <x:xf numFmtId="202" fontId="0" fillId="0" borderId="4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2" borderId="7" xfId="0" applyNumberFormat="1" applyFont="1" applyFill="1" applyBorder="1"/>
    <x:xf numFmtId="0" fontId="2" fillId="2" borderId="7" xfId="0" applyNumberFormat="1" applyFont="1" applyFill="1" applyBorder="1"/>
    <x:xf numFmtId="0" fontId="2" fillId="2" borderId="7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horizont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3" fontId="0" fillId="0" borderId="8" xfId="0" applyNumberFormat="1" applyFont="1" applyFill="1" applyBorder="1"/>
    <x:xf numFmtId="204" fontId="0" fillId="0" borderId="0" xfId="0" applyNumberFormat="1" applyFont="1" applyFill="1" applyBorder="1"/>
    <x:xf numFmtId="204" fontId="0" fillId="0" borderId="8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5" fontId="0" fillId="0" borderId="0" xfId="0" applyNumberFormat="1" applyFont="1" applyFill="1" applyBorder="1"/>
    <x:xf numFmtId="205" fontId="0" fillId="0" borderId="8" xfId="0" applyNumberFormat="1" applyFont="1" applyFill="1" applyBorder="1"/>
    <x:xf numFmtId="200" fontId="0" fillId="0" borderId="6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9" xfId="0" applyNumberFormat="1" applyFont="1" applyFill="1" applyBorder="1"/>
    <x:xf numFmtId="200" fontId="5" fillId="6" borderId="9" xfId="0" applyNumberFormat="1" applyFont="1" applyFill="1" applyBorder="1"/>
    <x:xf numFmtId="200" fontId="5" fillId="6" borderId="9" xfId="0" applyNumberFormat="1" applyFont="1" applyFill="1" applyBorder="1" applyAlignment="1">
      <x:alignment horizontal="center"/>
    </x:xf>
    <x:xf numFmtId="200" fontId="5" fillId="6" borderId="9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204" fontId="5" fillId="6" borderId="9" xfId="0" applyNumberFormat="1" applyFont="1" applyFill="1" applyBorder="1"/>
    <x:xf numFmtId="204" fontId="5" fillId="6" borderId="9" xfId="0" applyNumberFormat="1" applyFont="1" applyFill="1" applyBorder="1" applyAlignment="1">
      <x:alignment horizontal="center"/>
    </x:xf>
    <x:xf numFmtId="204" fontId="5" fillId="6" borderId="9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5" fontId="5" fillId="6" borderId="9" xfId="0" applyNumberFormat="1" applyFont="1" applyFill="1" applyBorder="1"/>
    <x:xf numFmtId="205" fontId="5" fillId="6" borderId="9" xfId="0" applyNumberFormat="1" applyFont="1" applyFill="1" applyBorder="1" applyAlignment="1">
      <x:alignment horizontal="center"/>
    </x:xf>
    <x:xf numFmtId="205" fontId="5" fillId="6" borderId="9" xfId="0" applyNumberFormat="1" applyFont="1" applyFill="1" applyBorder="1" applyAlignment="1">
      <x:alignment horizontal="center" vertical="center"/>
    </x:xf>
    <x:xf numFmtId="203" fontId="5" fillId="6" borderId="9" xfId="0" applyNumberFormat="1" applyFont="1" applyFill="1" applyBorder="1"/>
    <x:xf numFmtId="203" fontId="5" fillId="6" borderId="9" xfId="0" applyNumberFormat="1" applyFont="1" applyFill="1" applyBorder="1" applyAlignment="1">
      <x:alignment horizontal="center"/>
    </x:xf>
    <x:xf numFmtId="203" fontId="5" fillId="6" borderId="9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vertical="center"/>
    </x:xf>
    <x:xf numFmtId="0" fontId="0" fillId="4" borderId="3" xfId="0" applyNumberFormat="1" applyFont="1" applyFill="1" applyBorder="1"/>
    <x:xf numFmtId="0" fontId="0" fillId="4" borderId="5" xfId="0" applyNumberFormat="1" applyFont="1" applyFill="1" applyBorder="1"/>
    <x:xf numFmtId="0" fontId="3" fillId="4" borderId="3" xfId="0" applyNumberFormat="1" applyFont="1" applyFill="1" applyBorder="1"/>
    <x:xf numFmtId="0" fontId="3" fillId="4" borderId="5" xfId="0" applyNumberFormat="1" applyFont="1" applyFill="1" applyBorder="1"/>
    <x:xf numFmtId="0" fontId="3" fillId="4" borderId="3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5" borderId="9" xfId="0" applyNumberFormat="1" applyFont="1" applyFill="1" applyBorder="1" applyAlignment="1">
      <x:alignment horizontal="center" vertical="center"/>
    </x:xf>
    <x:xf numFmtId="200" fontId="7" fillId="6" borderId="9" xfId="0" applyNumberFormat="1" applyFont="1" applyFill="1" applyBorder="1" applyAlignment="1">
      <x:alignment horizontal="center" vertical="center"/>
    </x:xf>
    <x:xf numFmtId="0" fontId="2" fillId="7" borderId="9" xfId="0" applyNumberFormat="1" applyFont="1" applyFill="1" applyBorder="1" applyAlignment="1">
      <x:alignment horizontal="center" vertical="center"/>
    </x:xf>
    <x:xf numFmtId="204" fontId="7" fillId="6" borderId="9" xfId="0" applyNumberFormat="1" applyFont="1" applyFill="1" applyBorder="1" applyAlignment="1">
      <x:alignment horizontal="center" vertical="center"/>
    </x:xf>
    <x:xf numFmtId="0" fontId="2" fillId="8" borderId="9" xfId="0" applyNumberFormat="1" applyFont="1" applyFill="1" applyBorder="1" applyAlignment="1">
      <x:alignment horizontal="center" vertical="center"/>
    </x:xf>
    <x:xf numFmtId="0" fontId="2" fillId="2" borderId="9" xfId="0" applyNumberFormat="1" applyFont="1" applyFill="1" applyBorder="1" applyAlignment="1">
      <x:alignment horizontal="center" vertical="center"/>
    </x:xf>
    <x:xf numFmtId="0" fontId="2" fillId="7" borderId="9" xfId="0" applyNumberFormat="1" applyFont="1" applyFill="1" applyBorder="1"/>
    <x:xf numFmtId="0" fontId="2" fillId="7" borderId="9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7" fillId="6" borderId="9" xfId="0" applyNumberFormat="1" applyFont="1" applyFill="1" applyBorder="1" applyAlignment="1">
      <x:alignment horizontal="center" vertical="center"/>
    </x:xf>
    <x:xf numFmtId="205" fontId="7" fillId="6" borderId="9" xfId="0" applyNumberFormat="1" applyFont="1" applyFill="1" applyBorder="1" applyAlignment="1">
      <x:alignment horizontal="center" vertical="center"/>
    </x:xf>
    <x:xf numFmtId="0" fontId="2" fillId="8" borderId="9" xfId="0" applyNumberFormat="1" applyFont="1" applyFill="1" applyBorder="1"/>
    <x:xf numFmtId="0" fontId="2" fillId="8" borderId="9" xfId="0" applyNumberFormat="1" applyFont="1" applyFill="1" applyBorder="1" applyAlignment="1">
      <x:alignment horizontal="center"/>
    </x:xf>
    <x:xf numFmtId="203" fontId="7" fillId="6" borderId="9" xfId="0" applyNumberFormat="1" applyFont="1" applyFill="1" applyBorder="1" applyAlignment="1">
      <x:alignment horizontal="center" vertical="center"/>
    </x:xf>
    <x:xf numFmtId="0" fontId="3" fillId="5" borderId="9" xfId="0" applyNumberFormat="1" applyFont="1" applyFill="1" applyBorder="1"/>
    <x:xf numFmtId="0" fontId="3" fillId="5" borderId="9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2" fillId="2" borderId="9" xfId="0" applyNumberFormat="1" applyFont="1" applyFill="1" applyBorder="1"/>
    <x:xf numFmtId="0" fontId="2" fillId="2" borderId="9" xfId="0" applyNumberFormat="1" applyFont="1" applyFill="1" applyBorder="1" applyAlignment="1">
      <x:alignment horizontal="center"/>
    </x:xf>
    <x:xf numFmtId="0" fontId="0" fillId="5" borderId="7" xfId="0" applyNumberFormat="1" applyFont="1" applyFill="1" applyBorder="1"/>
    <x:xf numFmtId="0" fontId="2" fillId="5" borderId="9" xfId="0" applyNumberFormat="1" applyFont="1" applyFill="1" applyBorder="1" applyAlignment="1">
      <x:alignment horizontal="center" vertical="center"/>
    </x:xf>
    <x:xf numFmtId="0" fontId="0" fillId="5" borderId="2" xfId="0" applyNumberFormat="1" applyFont="1" applyFill="1" applyBorder="1"/>
    <x:xf numFmtId="0" fontId="3" fillId="5" borderId="7" xfId="0" applyNumberFormat="1" applyFont="1" applyFill="1" applyBorder="1"/>
    <x:xf numFmtId="0" fontId="3" fillId="5" borderId="2" xfId="0" applyNumberFormat="1" applyFont="1" applyFill="1" applyBorder="1"/>
    <x:xf numFmtId="0" fontId="3" fillId="5" borderId="7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/>
    </x:xf>
    <x:xf numFmtId="0" fontId="0" fillId="6" borderId="4" xfId="0" applyNumberFormat="1" applyFont="1" applyFill="1" applyBorder="1"/>
    <x:xf numFmtId="200" fontId="8" fillId="6" borderId="9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204" fontId="8" fillId="6" borderId="9" xfId="0" applyNumberFormat="1" applyFont="1" applyFill="1" applyBorder="1" applyAlignment="1">
      <x:alignment horizontal="center" vertical="center"/>
    </x:xf>
    <x:xf numFmtId="0" fontId="8" fillId="6" borderId="4" xfId="0" applyNumberFormat="1" applyFont="1" applyFill="1" applyBorder="1"/>
    <x:xf numFmtId="200" fontId="8" fillId="6" borderId="0" xfId="0" applyNumberFormat="1" applyFont="1" applyFill="1" applyBorder="1"/>
    <x:xf numFmtId="200" fontId="8" fillId="6" borderId="4" xfId="0" applyNumberFormat="1" applyFont="1" applyFill="1" applyBorder="1"/>
    <x:xf numFmtId="200" fontId="8" fillId="6" borderId="0" xfId="0" applyNumberFormat="1" applyFont="1" applyFill="1" applyBorder="1" applyAlignment="1">
      <x:alignment horizontal="center"/>
    </x:xf>
    <x:xf numFmtId="200" fontId="8" fillId="6" borderId="4" xfId="0" applyNumberFormat="1" applyFont="1" applyFill="1" applyBorder="1" applyAlignment="1">
      <x:alignment horizontal="center"/>
    </x:xf>
    <x:xf numFmtId="0" fontId="0" fillId="4" borderId="4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horizontal="center"/>
    </x:xf>
    <x:xf numFmtId="0" fontId="2" fillId="6" borderId="9" xfId="0" applyNumberFormat="1" applyFont="1" applyFill="1" applyBorder="1" applyAlignment="1">
      <x:alignment horizontal="center" vertical="center"/>
    </x:xf>
    <x:xf numFmtId="0" fontId="0" fillId="6" borderId="8" xfId="0" applyNumberFormat="1" applyFont="1" applyFill="1" applyBorder="1"/>
    <x:xf numFmtId="0" fontId="8" fillId="6" borderId="9" xfId="0" applyNumberFormat="1" applyFont="1" applyFill="1" applyBorder="1" applyAlignment="1">
      <x:alignment horizontal="center" vertical="center"/>
    </x:xf>
    <x:xf numFmtId="0" fontId="8" fillId="6" borderId="8" xfId="0" applyNumberFormat="1" applyFont="1" applyFill="1" applyBorder="1"/>
    <x:xf numFmtId="203" fontId="8" fillId="6" borderId="9" xfId="0" applyNumberFormat="1" applyFont="1" applyFill="1" applyBorder="1" applyAlignment="1">
      <x:alignment horizontal="center" vertical="center"/>
    </x:xf>
    <x:xf numFmtId="203" fontId="8" fillId="6" borderId="8" xfId="0" applyNumberFormat="1" applyFont="1" applyFill="1" applyBorder="1"/>
    <x:xf numFmtId="203" fontId="8" fillId="6" borderId="8" xfId="0" applyNumberFormat="1" applyFont="1" applyFill="1" applyBorder="1" applyAlignment="1">
      <x:alignment horizontal="center"/>
    </x:xf>
    <x:xf numFmtId="0" fontId="0" fillId="6" borderId="6" xfId="0" applyNumberFormat="1" applyFont="1" applyFill="1" applyBorder="1"/>
    <x:xf numFmtId="0" fontId="8" fillId="6" borderId="6" xfId="0" applyNumberFormat="1" applyFont="1" applyFill="1" applyBorder="1"/>
    <x:xf numFmtId="200" fontId="8" fillId="6" borderId="6" xfId="0" applyNumberFormat="1" applyFont="1" applyFill="1" applyBorder="1"/>
    <x:xf numFmtId="200" fontId="8" fillId="6" borderId="6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200" fontId="3" fillId="4" borderId="3" xfId="0" applyNumberFormat="1" applyFont="1" applyFill="1" applyBorder="1" applyAlignment="1">
      <x:alignment horizontal="center"/>
    </x:xf>
    <x:xf numFmtId="205" fontId="3" fillId="4" borderId="3" xfId="0" applyNumberFormat="1" applyFont="1" applyFill="1" applyBorder="1" applyAlignment="1">
      <x:alignment horizontal="center"/>
    </x:xf>
    <x:xf numFmtId="205" fontId="3" fillId="4" borderId="0" xfId="0" applyNumberFormat="1" applyFont="1" applyFill="1" applyBorder="1" applyAlignment="1">
      <x:alignment horizontal="center"/>
    </x:xf>
    <x:xf numFmtId="205" fontId="8" fillId="6" borderId="9" xfId="0" applyNumberFormat="1" applyFont="1" applyFill="1" applyBorder="1" applyAlignment="1">
      <x:alignment horizontal="center" vertical="center"/>
    </x:xf>
    <x:xf numFmtId="205" fontId="8" fillId="6" borderId="8" xfId="0" applyNumberFormat="1" applyFont="1" applyFill="1" applyBorder="1" applyAlignment="1">
      <x:alignment horizontal="center"/>
    </x:xf>
    <x:xf numFmtId="204" fontId="8" fillId="6" borderId="0" xfId="0" applyNumberFormat="1" applyFont="1" applyFill="1" applyBorder="1" applyAlignment="1">
      <x:alignment horizontal="center"/>
    </x:xf>
    <x:xf numFmtId="204" fontId="8" fillId="6" borderId="4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12" borderId="0" xfId="0" applyNumberFormat="1" applyFont="1" applyFill="1" applyBorder="1" applyAlignment="1">
      <x:alignment horizontal="left" vertical="center" wrapText="1"/>
    </x:xf>
    <x:xf numFmtId="0" fontId="1" fillId="12" borderId="0" xfId="0" applyNumberFormat="1" applyFont="1" applyFill="1" applyBorder="1" applyAlignment="1">
      <x:alignment horizontal="left" vertical="center" wrapText="1"/>
    </x:xf>
    <x:xf numFmtId="0" fontId="0" fillId="13" borderId="0" xfId="0" applyNumberFormat="1" applyFont="1" applyFill="1" applyBorder="1" applyAlignment="1">
      <x:alignment horizontal="left" vertical="center" wrapText="1"/>
    </x:xf>
    <x:xf numFmtId="0" fontId="9" fillId="13" borderId="0" xfId="0" applyNumberFormat="1" applyFont="1" applyFill="1" applyBorder="1" applyAlignment="1">
      <x:alignment horizontal="left" vertical="center" wrapText="1"/>
    </x:xf>
    <x:xf numFmtId="0" fontId="0" fillId="14" borderId="0" xfId="0" applyNumberFormat="1" applyFont="1" applyFill="1" applyBorder="1" applyAlignment="1">
      <x:alignment horizontal="left" vertical="center" wrapText="1"/>
    </x:xf>
    <x:xf numFmtId="0" fontId="2" fillId="14" borderId="0" xfId="0" applyNumberFormat="1" applyFont="1" applyFill="1" applyBorder="1" applyAlignment="1">
      <x:alignment horizontal="left" vertical="center" wrapText="1"/>
    </x:xf>
    <x:xf numFmtId="0" fontId="0" fillId="10" borderId="0" xfId="0" applyNumberFormat="1" applyFont="1" applyFill="1" applyBorder="1" applyAlignment="1">
      <x:alignment horizontal="left" vertical="center" wrapText="1"/>
    </x:xf>
    <x:xf numFmtId="0" fontId="2" fillId="10" borderId="0" xfId="0" applyNumberFormat="1" applyFont="1" applyFill="1" applyBorder="1" applyAlignment="1">
      <x:alignment horizontal="left" vertical="center" wrapText="1"/>
    </x:xf>
    <x:xf numFmtId="0" fontId="0" fillId="11" borderId="0" xfId="0" applyNumberFormat="1" applyFont="1" applyFill="1" applyBorder="1" applyAlignment="1">
      <x:alignment horizontal="left" vertical="center" wrapText="1"/>
    </x:xf>
    <x:xf numFmtId="0" fontId="2" fillId="11" borderId="0" xfId="0" applyNumberFormat="1" applyFont="1" applyFill="1" applyBorder="1" applyAlignment="1">
      <x:alignment horizontal="left" vertical="center" wrapText="1"/>
    </x:xf>
    <x:xf numFmtId="0" fontId="2" fillId="15" borderId="0" xfId="0" applyNumberFormat="1" applyFont="1" applyFill="1" applyBorder="1" applyAlignment="1">
      <x:alignment horizontal="left" vertical="center" wrapText="1"/>
    </x:xf>
    <x:xf numFmtId="0" fontId="0" fillId="15" borderId="0" xfId="0" applyNumberFormat="1" applyFont="1" applyFill="1" applyBorder="1" applyAlignment="1">
      <x:alignment horizontal="left" vertical="center" wrapText="1"/>
    </x:xf>
    <x:xf numFmtId="0" fontId="10" fillId="15" borderId="0" xfId="0" applyNumberFormat="1" applyFont="1" applyFill="1" applyBorder="1" applyAlignment="1">
      <x:alignment horizontal="left" vertical="center" wrapText="1"/>
    </x:xf>
    <x:xf numFmtId="0" fontId="11" fillId="15" borderId="0" xfId="0" applyNumberFormat="1" applyFont="1" applyFill="1" applyBorder="1" applyAlignment="1">
      <x:alignment horizontal="left" vertical="center" wrapText="1"/>
    </x:xf>
    <x:xf numFmtId="0" fontId="10" fillId="15" borderId="10" xfId="0" applyNumberFormat="1" applyFont="1" applyFill="1" applyBorder="1" applyAlignment="1">
      <x:alignment horizontal="left" vertical="center" wrapText="1"/>
    </x:xf>
    <x:xf numFmtId="0" fontId="11" fillId="15" borderId="11" xfId="0" applyNumberFormat="1" applyFont="1" applyFill="1" applyBorder="1" applyAlignment="1">
      <x:alignment horizontal="left" vertical="center" wrapText="1"/>
    </x:xf>
    <x:xf numFmtId="0" fontId="11" fillId="15" borderId="12" xfId="0" applyNumberFormat="1" applyFont="1" applyFill="1" applyBorder="1" applyAlignment="1">
      <x:alignment horizontal="left" vertical="center" wrapText="1"/>
    </x:xf>
    <x:xf numFmtId="0" fontId="10" fillId="15" borderId="13" xfId="0" applyNumberFormat="1" applyFont="1" applyFill="1" applyBorder="1" applyAlignment="1">
      <x:alignment horizontal="left" vertical="center" wrapText="1"/>
    </x:xf>
    <x:xf numFmtId="0" fontId="11" fillId="15" xfId="0" applyNumberFormat="1" applyFont="1" applyFill="1" applyBorder="0" applyAlignment="1">
      <x:alignment horizontal="left" vertical="center" wrapText="1"/>
    </x:xf>
    <x:xf numFmtId="0" fontId="11" fillId="15" borderId="14" xfId="0" applyNumberFormat="1" applyFont="1" applyFill="1" applyBorder="1" applyAlignment="1">
      <x:alignment horizontal="left" vertical="center" wrapText="1"/>
    </x:xf>
    <x:xf numFmtId="0" fontId="10" fillId="15" borderId="15" xfId="0" applyNumberFormat="1" applyFont="1" applyFill="1" applyBorder="1" applyAlignment="1">
      <x:alignment horizontal="left" vertical="center" wrapText="1"/>
    </x:xf>
    <x:xf numFmtId="0" fontId="11" fillId="15" borderId="16" xfId="0" applyNumberFormat="1" applyFont="1" applyFill="1" applyBorder="1" applyAlignment="1">
      <x:alignment horizontal="left" vertical="center" wrapText="1"/>
    </x:xf>
    <x:xf numFmtId="0" fontId="11" fillId="15" borderId="17" xfId="0" applyNumberFormat="1" applyFont="1" applyFill="1" applyBorder="1" applyAlignment="1">
      <x:alignment horizontal="left" vertical="center" wrapText="1"/>
    </x:xf>
    <x:xf numFmtId="0" fontId="3" fillId="3" borderId="3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204" fontId="0" fillId="0" borderId="8" xfId="0" applyNumberFormat="1" applyFont="1" applyFill="1" applyBorder="1" applyAlignment="1">
      <x:alignment wrapText="1"/>
    </x:xf>
    <x:xf numFmtId="205" fontId="0" fillId="0" borderId="8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5" borderId="9" xfId="0" applyNumberFormat="1" applyFont="1" applyFill="1" applyBorder="1" applyAlignment="1">
      <x:alignment horizontal="center" vertical="center" wrapText="1"/>
    </x:xf>
    <x:xf numFmtId="0" fontId="3" fillId="5" borderId="7" xfId="0" applyNumberFormat="1" applyFont="1" applyFill="1" applyBorder="1" applyAlignment="1">
      <x:alignment horizontal="center" wrapText="1"/>
    </x:xf>
    <x:xf numFmtId="0" fontId="3" fillId="5" borderId="2" xfId="0" applyNumberFormat="1" applyFont="1" applyFill="1" applyBorder="1" applyAlignment="1">
      <x:alignment horizontal="center" wrapText="1"/>
    </x:xf>
    <x:xf numFmtId="0" fontId="2" fillId="8" borderId="9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200" fontId="8" fillId="6" borderId="9" xfId="0" applyNumberFormat="1" applyFont="1" applyFill="1" applyBorder="1" applyAlignment="1">
      <x:alignment horizontal="center" vertical="center" wrapText="1"/>
    </x:xf>
    <x:xf numFmtId="204" fontId="8" fillId="6" borderId="0" xfId="0" applyNumberFormat="1" applyFont="1" applyFill="1" applyBorder="1" applyAlignment="1">
      <x:alignment horizontal="center" wrapText="1"/>
    </x:xf>
    <x:xf numFmtId="204" fontId="8" fillId="6" borderId="9" xfId="0" applyNumberFormat="1" applyFont="1" applyFill="1" applyBorder="1" applyAlignment="1">
      <x:alignment horizontal="center" vertical="center" wrapText="1"/>
    </x:xf>
    <x:xf numFmtId="204" fontId="8" fillId="6" borderId="4" xfId="0" applyNumberFormat="1" applyFont="1" applyFill="1" applyBorder="1" applyAlignment="1">
      <x:alignment horizontal="center" wrapText="1"/>
    </x:xf>
    <x:xf numFmtId="204" fontId="7" fillId="6" borderId="9" xfId="0" applyNumberFormat="1" applyFont="1" applyFill="1" applyBorder="1" applyAlignment="1">
      <x:alignment horizontal="center" vertical="center" wrapText="1"/>
    </x:xf>
    <x:xf numFmtId="205" fontId="3" fillId="4" borderId="3" xfId="0" applyNumberFormat="1" applyFont="1" applyFill="1" applyBorder="1" applyAlignment="1">
      <x:alignment horizontal="center" wrapText="1"/>
    </x:xf>
    <x:xf numFmtId="205" fontId="3" fillId="4" borderId="0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205" fontId="8" fillId="6" borderId="9" xfId="0" applyNumberFormat="1" applyFont="1" applyFill="1" applyBorder="1" applyAlignment="1">
      <x:alignment horizontal="center" vertical="center" wrapText="1"/>
    </x:xf>
    <x:xf numFmtId="205" fontId="8" fillId="6" borderId="8" xfId="0" applyNumberFormat="1" applyFont="1" applyFill="1" applyBorder="1" applyAlignment="1">
      <x:alignment horizontal="center" wrapText="1"/>
    </x:xf>
    <x:xf numFmtId="200" fontId="8" fillId="6" borderId="6" xfId="0" applyNumberFormat="1" applyFont="1" applyFill="1" applyBorder="1" applyAlignment="1">
      <x:alignment horizontal="center" wrapText="1"/>
    </x:xf>
    <x:xf numFmtId="205" fontId="7" fillId="6" borderId="9" xfId="0" applyNumberFormat="1" applyFont="1" applyFill="1" applyBorder="1" applyAlignment="1">
      <x:alignment horizontal="center" vertical="center" wrapText="1"/>
    </x:xf>
    <x:xf numFmtId="203" fontId="7" fillId="6" borderId="9" xfId="0" applyNumberFormat="1" applyFont="1" applyFill="1" applyBorder="1" applyAlignment="1">
      <x:alignment horizontal="center" vertical="center" wrapText="1"/>
    </x:xf>
    <x:xf numFmtId="200" fontId="7" fillId="6" borderId="9" xfId="0" applyNumberFormat="1" applyFont="1" applyFill="1" applyBorder="1" applyAlignment="1">
      <x:alignment horizontal="center" vertical="center" wrapText="1"/>
    </x:xf>
    <x:xf numFmtId="205" fontId="5" fillId="6" borderId="9" xfId="0" applyNumberFormat="1" applyFont="1" applyFill="1" applyBorder="1" applyAlignment="1">
      <x:alignment horizontal="center" vertical="center" wrapText="1"/>
    </x:xf>
    <x:xf numFmtId="203" fontId="5" fillId="6" borderId="9" xfId="0" applyNumberFormat="1" applyFont="1" applyFill="1" applyBorder="1" applyAlignment="1">
      <x:alignment horizontal="center" vertical="center" wrapText="1"/>
    </x:xf>
    <x:xf numFmtId="200" fontId="5" fillId="6" borderId="9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2E8B57"/>
      </x:font>
      <x:fill>
        <x:patternFill>
          <x:bgColor rgb="DDF3E4"/>
        </x:patternFill>
      </x:fill>
    </x:dxf>
    <x:dxf>
      <x:font>
        <x:b/>
        <x:color rgb="C0392B"/>
      </x:font>
      <x:fill>
        <x:patternFill>
          <x:bgColor rgb="FDE2E1"/>
        </x:patternFill>
      </x:fill>
    </x:dxf>
    <x:dxf>
      <x:font>
        <x:b/>
        <x:color rgb="2E8B57"/>
      </x:font>
      <x:fill>
        <x:patternFill>
          <x:bgColor rgb="DDF3E4"/>
        </x:patternFill>
      </x:fill>
    </x:dxf>
    <x:dxf>
      <x:font>
        <x:b/>
        <x:color rgb="C0392B"/>
      </x:font>
      <x:fill>
        <x:patternFill>
          <x:bgColor rgb="FDE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095d75140649c4" /><Relationship Type="http://schemas.openxmlformats.org/officeDocument/2006/relationships/theme" Target="/xl/theme/theme1.xml" Id="R4878501e40c94cb2" /><Relationship Type="http://schemas.openxmlformats.org/officeDocument/2006/relationships/sharedStrings" Target="/xl/sharedStrings.xml" Id="R6b7d255f0a3346ea" /><Relationship Type="http://schemas.openxmlformats.org/officeDocument/2006/relationships/worksheet" Target="/xl/worksheets/sheet1.xml" Id="Rc99c2127064544f9" /><Relationship Type="http://schemas.openxmlformats.org/officeDocument/2006/relationships/worksheet" Target="/xl/worksheets/sheet2.xml" Id="R063bab86c7344cee" /><Relationship Type="http://schemas.openxmlformats.org/officeDocument/2006/relationships/worksheet" Target="/xl/worksheets/sheet3.xml" Id="R4c4191d9143f4ae8" /><Relationship Type="http://schemas.openxmlformats.org/officeDocument/2006/relationships/worksheet" Target="/xl/worksheets/sheet4.xml" Id="R3d6a043227d0415a" /><Relationship Type="http://schemas.openxmlformats.org/officeDocument/2006/relationships/worksheet" Target="/xl/worksheets/sheet5.xml" Id="R02032c39c8d74923" /><Relationship Type="http://schemas.openxmlformats.org/officeDocument/2006/relationships/worksheet" Target="/xl/worksheets/sheet6.xml" Id="Rbd8977c9b19d4b04" /><Relationship Type="http://schemas.openxmlformats.org/officeDocument/2006/relationships/worksheet" Target="/xl/worksheets/sheet7.xml" Id="Rab009ebd166b42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e7a73969fe843aa" /><Relationship Type="http://schemas.openxmlformats.org/officeDocument/2006/relationships/chart" Target="/xl/drawings/charts/chart2.xml" Id="R3eca9e3363c8408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Volumen por etapa del funnel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'Funnel'!$A$4:$A$12</c:f>
              <c:strCache>
                <c:ptCount val="0"/>
              </c:strCache>
            </c:strRef>
          </c:cat>
          <c:val>
            <c:numRef>
              <c:f>'Funnel'!$B$4:$B$12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Leads vs registros vs 1ras inversiones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Leads</c:v>
          </c:tx>
          <c:cat>
            <c:strRef>
              <c:f>'Resumen'!$J$36:$J$37</c:f>
              <c:strCache>
                <c:ptCount val="0"/>
              </c:strCache>
            </c:strRef>
          </c:cat>
          <c:val>
            <c:numRef>
              <c:f>'Resumen'!$K$36:$K$37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Registros</c:v>
          </c:tx>
          <c:cat>
            <c:strRef>
              <c:f>'Resumen'!$J$36:$J$37</c:f>
              <c:strCache>
                <c:ptCount val="0"/>
              </c:strCache>
            </c:strRef>
          </c:cat>
          <c:val>
            <c:numRef>
              <c:f>'Resumen'!$L$36:$L$37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1ras inversiones</c:v>
          </c:tx>
          <c:cat>
            <c:strRef>
              <c:f>'Resumen'!$J$36:$J$37</c:f>
              <c:strCache>
                <c:ptCount val="0"/>
              </c:strCache>
            </c:strRef>
          </c:cat>
          <c:val>
            <c:numRef>
              <c:f>'Resumen'!$M$36:$M$37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7a73969fe843aa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17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ca9e3363c8408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unnelTable" displayName="FunnelTable" ref="A3:G12" headerRowCount="1">
  <x:tableColumns count="7">
    <x:tableColumn id="1" name="Etapa"/>
    <x:tableColumn id="2" name="Volumen"/>
    <x:tableColumn id="3" name="Base"/>
    <x:tableColumn id="4" name="Tasa"/>
    <x:tableColumn id="5" name="Meta interna"/>
    <x:tableColumn id="6" name="Cumplimiento"/>
    <x:tableColumn id="7" name="Lectura"/>
  </x:tableColumns>
  <x:tableStyleInfo name="TableStyleMedium2" showRowStripes="1"/>
</x:table>
</file>

<file path=xl/tables/table2.xml><?xml version="1.0" encoding="utf-8"?>
<x:table xmlns:x="http://schemas.openxmlformats.org/spreadsheetml/2006/main" id="1" name="CampaignTable" displayName="CampaignTable" ref="A3:K6" headerRowCount="1">
  <x:tableColumns count="11">
    <x:tableColumn id="1" name="Campaña"/>
    <x:tableColumn id="2" name="Inversión CLP"/>
    <x:tableColumn id="3" name="Impresiones"/>
    <x:tableColumn id="4" name="Clics"/>
    <x:tableColumn id="5" name="CTR"/>
    <x:tableColumn id="6" name="Leads"/>
    <x:tableColumn id="7" name="Registros"/>
    <x:tableColumn id="8" name="1ras inversiones"/>
    <x:tableColumn id="9" name="CPL"/>
    <x:tableColumn id="10" name="Costo/registro"/>
    <x:tableColumn id="11" name="Costo/1ra inversión"/>
  </x:tableColumns>
  <x:tableStyleInfo name="TableStyleMedium2" showRowStripes="1"/>
</x:table>
</file>

<file path=xl/tables/table3.xml><?xml version="1.0" encoding="utf-8"?>
<x:table xmlns:x="http://schemas.openxmlformats.org/spreadsheetml/2006/main" id="1" name="EmailTable" displayName="EmailTable" ref="A3:F7" headerRowCount="1">
  <x:tableColumns count="6">
    <x:tableColumn id="1" name="Métrica"/>
    <x:tableColumn id="2" name="Valor"/>
    <x:tableColumn id="3" name="Meta interna"/>
    <x:tableColumn id="4" name="Cumplimiento"/>
    <x:tableColumn id="5" name="Comentario"/>
    <x:tableColumn id="6" name="Fuente de meta"/>
  </x:tableColumns>
  <x:tableStyleInfo name="TableStyleMedium2" showRowStripes="1"/>
</x:table>
</file>

<file path=xl/tables/table4.xml><?xml version="1.0" encoding="utf-8"?>
<x:table xmlns:x="http://schemas.openxmlformats.org/spreadsheetml/2006/main" id="1" name="SourcesTable" displayName="SourcesTable" ref="A3:D9" headerRowCount="1">
  <x:tableColumns count="4">
    <x:tableColumn id="1" name="Tipo"/>
    <x:tableColumn id="2" name="Referencia"/>
    <x:tableColumn id="3" name="Detalle"/>
    <x:tableColumn id="4" name="Observació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d474d7475974e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2849287f64948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5111f89724847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cdf0ddffc4e41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fa75060ad854b5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4" max="4" width="22" hidden="0" customWidth="1"/>
    <x:col min="5" max="5" width="40" hidden="0" customWidth="1"/>
    <x:col min="6" max="6" width="16" hidden="0" customWidth="1"/>
    <x:col min="3" max="3" width="0.05000000074505806" hidden="0" customWidth="1"/>
  </x:cols>
  <x:sheetData>
    <x:row r="1" ht="17.08984375" hidden="0" customHeight="1">
      <x:c r="A1" s="94" t="str">
        <x:v>Simulación de resultados - Cumplo Inversionistas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/>
      <x:c r="L1" s="90"/>
      <x:c r="M1" s="90"/>
      <x:c r="N1" s="90"/>
      <x:c r="O1" s="90"/>
      <x:c r="P1" s="90"/>
      <x:c r="Q1" s="90"/>
      <x:c r="R1" s="90"/>
      <x:c r="S1" s="90"/>
      <x:c r="T1" s="90"/>
      <x:c r="U1" s="90"/>
      <x:c r="V1" s="90"/>
      <x:c r="W1" s="90"/>
      <x:c r="X1" s="90"/>
      <x:c r="Y1" s="90"/>
      <x:c r="Z1" s="90"/>
    </x:row>
    <x:row r="2">
      <x:c r="A2" s="90"/>
      <x:c r="B2" s="90"/>
      <x:c r="C2" s="90"/>
      <x:c r="D2" s="90"/>
      <x:c r="E2" s="90"/>
      <x:c r="F2" s="90"/>
    </x:row>
    <x:row r="3">
      <x:c r="A3" s="19" t="str">
        <x:v>Variable</x:v>
      </x:c>
      <x:c r="B3" s="20" t="str">
        <x:v>Valor</x:v>
      </x:c>
      <x:c r="C3" s="90"/>
      <x:c r="D3" s="19" t="str">
        <x:v>Supuesto</x:v>
      </x:c>
      <x:c r="E3" s="36" t="str">
        <x:v>Descripción</x:v>
      </x:c>
      <x:c r="F3" s="20" t="str">
        <x:v>Tipo</x:v>
      </x:c>
    </x:row>
    <x:row r="4">
      <x:c r="A4" s="183" t="str">
        <x:v>Periodo simulado (días)</x:v>
      </x:c>
      <x:c r="B4" s="184" t="n">
        <x:v>30</x:v>
      </x:c>
      <x:c r="C4" s="90"/>
      <x:c r="D4" s="183" t="str">
        <x:v>Resultados 100% simulados</x:v>
      </x:c>
      <x:c r="E4" s="90" t="str">
        <x:v>Escenario piloto diseñado para presentación académica.</x:v>
      </x:c>
      <x:c r="F4" s="185" t="str">
        <x:v>Contexto</x:v>
      </x:c>
    </x:row>
    <x:row r="5">
      <x:c r="A5" s="183" t="str">
        <x:v>Presupuesto diario Token CLP</x:v>
      </x:c>
      <x:c r="B5" s="186" t="n">
        <x:v>40000</x:v>
      </x:c>
      <x:c r="C5" s="90"/>
      <x:c r="D5" s="183" t="str">
        <x:v>Captura Meta adjunta</x:v>
      </x:c>
      <x:c r="E5" s="90" t="str">
        <x:v>Campaña CUMPLO_INV_TOKEN_Q1 configurada con CBO de $40.000/día.</x:v>
      </x:c>
      <x:c r="F5" s="185" t="str">
        <x:v>Configuración Meta</x:v>
      </x:c>
    </x:row>
    <x:row r="6">
      <x:c r="A6" s="183" t="str">
        <x:v>Presupuesto diario Directa CLP</x:v>
      </x:c>
      <x:c r="B6" s="186" t="n">
        <x:v>50000</x:v>
      </x:c>
      <x:c r="C6" s="90"/>
      <x:c r="D6" s="183" t="str">
        <x:v>Captura Meta adjunta</x:v>
      </x:c>
      <x:c r="E6" s="90" t="str">
        <x:v>Campaña CUMPLO_INV_DIRECTA_Q1 configurada con CBO de $50.000/día.</x:v>
      </x:c>
      <x:c r="F6" s="185" t="str">
        <x:v>Configuración Meta</x:v>
      </x:c>
    </x:row>
    <x:row r="7">
      <x:c r="A7" s="183" t="str">
        <x:v>Presupuesto diario total CLP</x:v>
      </x:c>
      <x:c r="B7" s="186" t="n">
        <x:f>B5+B6</x:f>
        <x:v>90000</x:v>
      </x:c>
      <x:c r="C7" s="90"/>
      <x:c r="D7" s="183" t="str">
        <x:v>Suma campañas</x:v>
      </x:c>
      <x:c r="E7" s="90" t="str">
        <x:v>Suma del presupuesto diario de ambas campañas.</x:v>
      </x:c>
      <x:c r="F7" s="185" t="str">
        <x:v>Presupuesto</x:v>
      </x:c>
    </x:row>
    <x:row r="8">
      <x:c r="A8" s="183" t="str">
        <x:v>Presupuesto total CLP (30 días)</x:v>
      </x:c>
      <x:c r="B8" s="186" t="n">
        <x:f>B7*B4</x:f>
        <x:v>2700000</x:v>
      </x:c>
      <x:c r="C8" s="90"/>
      <x:c r="D8" s="183" t="str">
        <x:v>Presupuesto diario total x periodo</x:v>
      </x:c>
      <x:c r="E8" s="90" t="str">
        <x:v>Monto total simulado para el piloto de 30 días.</x:v>
      </x:c>
      <x:c r="F8" s="185" t="str">
        <x:v>Presupuesto</x:v>
      </x:c>
    </x:row>
    <x:row r="9">
      <x:c r="A9" s="183" t="str">
        <x:v>Ticket promedio Tokens</x:v>
      </x:c>
      <x:c r="B9" s="186" t="n">
        <x:v>180000</x:v>
      </x:c>
      <x:c r="C9" s="90"/>
      <x:c r="D9" s="183" t="str">
        <x:v>Segmentos</x:v>
      </x:c>
      <x:c r="E9" s="90" t="str">
        <x:v>Perfil conservador (Tokens).</x:v>
      </x:c>
      <x:c r="F9" s="185" t="str">
        <x:v>Audiencia</x:v>
      </x:c>
    </x:row>
    <x:row r="10">
      <x:c r="A10" s="187" t="str">
        <x:v>Ticket promedio Directa</x:v>
      </x:c>
      <x:c r="B10" s="188" t="n">
        <x:v>420000</x:v>
      </x:c>
      <x:c r="C10" s="90"/>
      <x:c r="D10" s="187" t="str">
        <x:v>Segmentos</x:v>
      </x:c>
      <x:c r="E10" s="91" t="str">
        <x:v>Perfil sofisticado (Inversión Directa).</x:v>
      </x:c>
      <x:c r="F10" s="189" t="str">
        <x:v>Audiencia</x:v>
      </x:c>
    </x:row>
    <x:row r="11">
      <x:c r="A11" s="90" t="str">
        <x:v>Meta interna tasa de avance</x:v>
      </x:c>
      <x:c r="B11" s="190" t="n">
        <x:v>0.5</x:v>
      </x:c>
      <x:c r="C11" s="90"/>
      <x:c r="D11" s="90" t="str">
        <x:v>Objetivo de campaña</x:v>
      </x:c>
      <x:c r="E11" s="90" t="str">
        <x:v>Conversión</x:v>
      </x:c>
      <x:c r="F11" s="90" t="str">
        <x:v>Marketing</x:v>
      </x:c>
    </x:row>
    <x:row r="12">
      <x:c r="A12" s="90" t="str">
        <x:v>Meta interna tasa de registro</x:v>
      </x:c>
      <x:c r="B12" s="190" t="n">
        <x:v>0.15</x:v>
      </x:c>
      <x:c r="C12" s="90"/>
      <x:c r="D12" s="90" t="str">
        <x:v>Canales integrados</x:v>
      </x:c>
      <x:c r="E12" s="90" t="str">
        <x:v>Meta Ads, WhatsApp, ManyChat, HubSpot y email</x:v>
      </x:c>
      <x:c r="F12" s="90" t="str">
        <x:v>Omnicanal</x:v>
      </x:c>
    </x:row>
    <x:row r="13">
      <x:c r="A13" s="90" t="str">
        <x:v>Meta interna open rate email</x:v>
      </x:c>
      <x:c r="B13" s="190" t="n">
        <x:v>0.3</x:v>
      </x:c>
      <x:c r="C13" s="90"/>
      <x:c r="D13" s="90" t="str">
        <x:v>Base estratégica</x:v>
      </x:c>
      <x:c r="E13" s="90" t="str">
        <x:v>Construida en base al informe, rúbrica y configuración Meta entregada.</x:v>
      </x:c>
      <x:c r="F13" s="90" t="str">
        <x:v>Académico</x:v>
      </x:c>
    </x:row>
    <x:row r="14">
      <x:c r="A14" s="90"/>
      <x:c r="B14" s="90"/>
      <x:c r="C14" s="90"/>
      <x:c r="D14" s="90"/>
      <x:c r="E14" s="90"/>
      <x:c r="F14" s="90"/>
    </x:row>
    <x:row r="15">
      <x:c r="A15" s="90"/>
      <x:c r="B15" s="90"/>
      <x:c r="C15" s="90"/>
      <x:c r="D15" s="90"/>
      <x:c r="E15" s="90"/>
      <x:c r="F15" s="90"/>
    </x:row>
    <x:row r="16">
      <x:c r="A16" s="90"/>
      <x:c r="B16" s="90"/>
      <x:c r="C16" s="90"/>
      <x:c r="D16" s="90"/>
      <x:c r="E16" s="90"/>
      <x:c r="F16" s="90"/>
    </x:row>
    <x:row r="17">
      <x:c r="A17" s="90"/>
      <x:c r="B17" s="90"/>
      <x:c r="C17" s="90"/>
      <x:c r="D17" s="90"/>
      <x:c r="E17" s="90"/>
      <x:c r="F17" s="90"/>
    </x:row>
    <x:row r="18">
      <x:c r="A18" s="90"/>
      <x:c r="B18" s="90"/>
      <x:c r="C18" s="90"/>
      <x:c r="D18" s="90"/>
      <x:c r="E18" s="90"/>
      <x:c r="F18" s="90"/>
    </x:row>
    <x:row r="19">
      <x:c r="A19" s="90"/>
      <x:c r="B19" s="90"/>
      <x:c r="C19" s="90"/>
      <x:c r="D19" s="90"/>
      <x:c r="E19" s="90"/>
      <x:c r="F19" s="90"/>
    </x:row>
    <x:row r="20">
      <x:c r="A20" s="90"/>
      <x:c r="B20" s="90"/>
      <x:c r="C20" s="90"/>
      <x:c r="D20" s="90"/>
      <x:c r="E20" s="90"/>
      <x:c r="F20" s="90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1.56999969482422" hidden="0" customWidth="1"/>
    <x:col min="2" max="2" width="42" hidden="0" customWidth="1"/>
    <x:col min="3" max="3" width="21.56999969482422" hidden="0" customWidth="1"/>
    <x:col min="4" max="4" width="19.56999969482422" hidden="0" customWidth="1"/>
    <x:col min="5" max="5" width="0.05000000074505806" hidden="0" customWidth="1"/>
    <x:col min="6" max="6" width="24" hidden="0" customWidth="1"/>
    <x:col min="7" max="7" width="24" hidden="0" customWidth="1"/>
    <x:col min="8" max="8" width="4.289999961853027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9" max="9" width="0.05000000074505806" hidden="0" customWidth="1"/>
  </x:cols>
  <x:sheetData>
    <x:row r="1" ht="102.5390625" hidden="0" customHeight="1">
      <x:c r="A1" s="92" t="str">
        <x:v>Dashboard de simulación - Cumplo Inversionistas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/>
      <x:c r="L1" s="90"/>
      <x:c r="M1" s="90"/>
      <x:c r="N1" s="90"/>
      <x:c r="O1" s="90"/>
      <x:c r="P1" s="90"/>
      <x:c r="Q1" s="90"/>
      <x:c r="R1" s="90"/>
      <x:c r="S1" s="90"/>
      <x:c r="T1" s="90"/>
      <x:c r="U1" s="90"/>
      <x:c r="V1" s="90"/>
      <x:c r="W1" s="90"/>
      <x:c r="X1" s="90"/>
      <x:c r="Y1" s="90"/>
      <x:c r="Z1" s="90"/>
    </x:row>
    <x:row r="2">
      <x:c r="A2" s="90"/>
      <x:c r="B2" s="90"/>
      <x:c r="C2" s="90"/>
      <x:c r="D2" s="90"/>
      <x:c r="E2" s="90"/>
      <x:c r="F2" s="90"/>
      <x:c r="G2" s="90"/>
      <x:c r="H2" s="90"/>
      <x:c r="I2" s="90"/>
      <x:c r="J2" s="90"/>
      <x:c r="K2" s="90"/>
      <x:c r="L2" s="90"/>
      <x:c r="M2" s="90"/>
    </x:row>
    <x:row r="3">
      <x:c r="A3" s="199" t="str">
        <x:v>Piloto simulado de 30 días orientado a conversión: Meta Ads + WhatsApp/ManyChat + HubSpot + Email</x:v>
      </x:c>
      <x:c r="B3" s="90"/>
      <x:c r="C3" s="90"/>
      <x:c r="D3" s="90"/>
      <x:c r="E3" s="90"/>
      <x:c r="F3" s="90"/>
      <x:c r="G3" s="90"/>
      <x:c r="H3" s="90"/>
      <x:c r="I3" s="90"/>
      <x:c r="J3" s="90"/>
      <x:c r="K3" s="90"/>
      <x:c r="L3" s="90"/>
      <x:c r="M3" s="90"/>
    </x:row>
    <x:row r="4">
      <x:c r="A4" s="90"/>
      <x:c r="B4" s="90"/>
      <x:c r="C4" s="90"/>
      <x:c r="D4" s="90"/>
      <x:c r="E4" s="90"/>
      <x:c r="F4" s="90"/>
      <x:c r="G4" s="90"/>
      <x:c r="H4" s="90"/>
      <x:c r="I4" s="90"/>
      <x:c r="J4" s="90"/>
      <x:c r="K4" s="90"/>
      <x:c r="L4" s="90"/>
      <x:c r="M4" s="90"/>
    </x:row>
    <x:row r="5" ht="24" customHeight="1">
      <x:c r="A5" s="200" t="str">
        <x:v>Presupuesto total</x:v>
      </x:c>
      <x:c r="B5" s="201" t="str">
        <x:v>Leads captados</x:v>
      </x:c>
      <x:c r="C5" s="200" t="str">
        <x:v>Registros completos</x:v>
      </x:c>
      <x:c r="D5" s="202" t="str">
        <x:v>1ras inversiones</x:v>
      </x:c>
      <x:c r="E5" s="203" t="str"/>
      <x:c r="F5" s="90" t="str"/>
      <x:c r="G5" s="204" t="str"/>
      <x:c r="H5" s="90" t="str"/>
      <x:c r="I5" s="90"/>
      <x:c r="J5" s="90"/>
      <x:c r="K5" s="90"/>
      <x:c r="L5" s="90"/>
      <x:c r="M5" s="90"/>
    </x:row>
    <x:row r="6" ht="24" customHeight="1">
      <x:c r="A6" s="205" t="n">
        <x:v>2700000</x:v>
      </x:c>
      <x:c r="B6" s="206" t="n">
        <x:v>1142</x:v>
      </x:c>
      <x:c r="C6" s="207" t="n">
        <x:v>241</x:v>
      </x:c>
      <x:c r="D6" s="208" t="n">
        <x:v>70</x:v>
      </x:c>
      <x:c r="E6" s="209" t="str"/>
      <x:c r="F6" s="90" t="str"/>
      <x:c r="G6" s="209" t="str"/>
      <x:c r="H6" s="90" t="str"/>
      <x:c r="I6" s="90"/>
      <x:c r="J6" s="90"/>
      <x:c r="K6" s="90"/>
      <x:c r="L6" s="90"/>
      <x:c r="M6" s="90"/>
    </x:row>
    <x:row r="7" ht="24" customHeight="1">
      <x:c r="A7" s="210" t="str">
        <x:v>CTR campaña</x:v>
      </x:c>
      <x:c r="B7" s="211" t="str">
        <x:v>Tasa de registro</x:v>
      </x:c>
      <x:c r="C7" s="211" t="str">
        <x:v>Open rate email</x:v>
      </x:c>
      <x:c r="D7" s="212" t="str">
        <x:v>Capital movilizado</x:v>
      </x:c>
      <x:c r="E7" s="90" t="str"/>
      <x:c r="F7" s="90" t="str"/>
      <x:c r="G7" s="90" t="str"/>
      <x:c r="H7" s="90" t="str"/>
      <x:c r="I7" s="90"/>
      <x:c r="J7" s="90"/>
      <x:c r="K7" s="90"/>
      <x:c r="L7" s="90"/>
      <x:c r="M7" s="90"/>
    </x:row>
    <x:row r="8" ht="24" customHeight="1">
      <x:c r="A8" s="213" t="n">
        <x:v>0.015240334517861437</x:v>
      </x:c>
      <x:c r="B8" s="214" t="n">
        <x:v>0.21103327495621715</x:v>
      </x:c>
      <x:c r="C8" s="213" t="n">
        <x:v>0.41</x:v>
      </x:c>
      <x:c r="D8" s="215" t="n">
        <x:v>20760000</x:v>
      </x:c>
      <x:c r="E8" s="200" t="str"/>
      <x:c r="F8" s="90" t="str"/>
      <x:c r="G8" s="204" t="str"/>
      <x:c r="H8" s="90" t="str"/>
      <x:c r="I8" s="90"/>
      <x:c r="J8" s="90"/>
      <x:c r="K8" s="90"/>
      <x:c r="L8" s="90"/>
      <x:c r="M8" s="90"/>
    </x:row>
    <x:row r="9" ht="24" customHeight="1">
      <x:c r="A9" s="216" t="str"/>
      <x:c r="B9" s="90" t="str"/>
      <x:c r="C9" s="217" t="str"/>
      <x:c r="D9" s="90" t="str"/>
      <x:c r="E9" s="217" t="str"/>
      <x:c r="F9" s="90" t="str"/>
      <x:c r="G9" s="218" t="str"/>
      <x:c r="H9" s="90" t="str"/>
      <x:c r="I9" s="90"/>
      <x:c r="J9" s="90"/>
      <x:c r="K9" s="90"/>
      <x:c r="L9" s="90"/>
      <x:c r="M9" s="90"/>
    </x:row>
    <x:row r="10">
      <x:c r="A10" s="219" t="str"/>
      <x:c r="B10" s="90" t="str"/>
      <x:c r="C10" s="220" t="str"/>
      <x:c r="D10" s="90" t="str"/>
      <x:c r="E10" s="220" t="str"/>
      <x:c r="F10" s="90" t="str"/>
      <x:c r="G10" s="221" t="str"/>
      <x:c r="H10" s="90" t="str"/>
      <x:c r="I10" s="90"/>
      <x:c r="J10" s="90"/>
      <x:c r="K10" s="90"/>
      <x:c r="L10" s="90"/>
      <x:c r="M10" s="90"/>
    </x:row>
    <x:row r="11">
      <x:c r="A11" s="90"/>
      <x:c r="B11" s="90"/>
      <x:c r="C11" s="90"/>
      <x:c r="D11" s="90"/>
      <x:c r="E11" s="90"/>
      <x:c r="F11" s="90"/>
      <x:c r="G11" s="90"/>
      <x:c r="H11" s="90"/>
      <x:c r="I11" s="90"/>
      <x:c r="J11" s="90"/>
      <x:c r="K11" s="90"/>
      <x:c r="L11" s="90"/>
      <x:c r="M11" s="90"/>
    </x:row>
    <x:row r="12">
      <x:c r="A12" s="90"/>
      <x:c r="B12" s="90"/>
      <x:c r="C12" s="90"/>
      <x:c r="D12" s="90"/>
      <x:c r="E12" s="90"/>
      <x:c r="F12" s="90"/>
      <x:c r="G12" s="90"/>
      <x:c r="H12" s="90"/>
      <x:c r="I12" s="90"/>
      <x:c r="J12" s="90"/>
      <x:c r="K12" s="90"/>
      <x:c r="L12" s="90"/>
      <x:c r="M12" s="90"/>
    </x:row>
    <x:row r="13">
      <x:c r="A13" s="222" t="str">
        <x:v>Lecturas clave</x:v>
      </x:c>
      <x:c r="B13" s="223" t="str"/>
      <x:c r="C13" s="223" t="str"/>
      <x:c r="D13" s="224" t="str"/>
      <x:c r="E13" s="90"/>
      <x:c r="F13" s="222" t="str">
        <x:v>Supuestos del piloto</x:v>
      </x:c>
      <x:c r="G13" s="223" t="str"/>
      <x:c r="H13" s="224" t="str"/>
      <x:c r="I13" s="90"/>
      <x:c r="J13" s="90"/>
      <x:c r="K13" s="90"/>
      <x:c r="L13" s="90"/>
      <x:c r="M13" s="90"/>
    </x:row>
    <x:row r="14">
      <x:c r="A14" s="225" t="str">
        <x:v>1</x:v>
      </x:c>
      <x:c r="B14" s="90" t="str">
        <x:v>La campaña Token baja su inversión total al ajustarse a $40.000 diarios.</x:v>
      </x:c>
      <x:c r="C14" s="90" t="str"/>
      <x:c r="D14" s="185" t="str"/>
      <x:c r="E14" s="90"/>
      <x:c r="F14" s="183" t="str">
        <x:v>Periodo</x:v>
      </x:c>
      <x:c r="G14" s="156" t="n">
        <x:v>30</x:v>
      </x:c>
      <x:c r="H14" s="185" t="str">
        <x:v>días</x:v>
      </x:c>
      <x:c r="I14" s="90"/>
      <x:c r="J14" s="90"/>
      <x:c r="K14" s="90"/>
      <x:c r="L14" s="90"/>
      <x:c r="M14" s="90"/>
    </x:row>
    <x:row r="15">
      <x:c r="A15" s="225" t="str">
        <x:v>2</x:v>
      </x:c>
      <x:c r="B15" s="90" t="str">
        <x:v>La campaña Directa mantiene mayor valor por lead con $50.000 diarios.</x:v>
      </x:c>
      <x:c r="C15" s="90" t="str"/>
      <x:c r="D15" s="185" t="str"/>
      <x:c r="E15" s="90"/>
      <x:c r="F15" s="183" t="str">
        <x:v>Objetivo</x:v>
      </x:c>
      <x:c r="G15" s="90" t="str">
        <x:v>Conversión</x:v>
      </x:c>
      <x:c r="H15" s="185" t="str"/>
      <x:c r="I15" s="90"/>
      <x:c r="J15" s="90"/>
      <x:c r="K15" s="90"/>
      <x:c r="L15" s="90"/>
      <x:c r="M15" s="90"/>
    </x:row>
    <x:row r="16">
      <x:c r="A16" s="225" t="str">
        <x:v>3</x:v>
      </x:c>
      <x:c r="B16" s="90" t="str">
        <x:v>La tasa de avance sigue sobre la meta interna (&gt;50%).</x:v>
      </x:c>
      <x:c r="C16" s="90" t="str"/>
      <x:c r="D16" s="185" t="str"/>
      <x:c r="E16" s="90"/>
      <x:c r="F16" s="183" t="str">
        <x:v>Segmentos</x:v>
      </x:c>
      <x:c r="G16" s="90" t="str">
        <x:v>Token y Directa</x:v>
      </x:c>
      <x:c r="H16" s="185" t="str"/>
      <x:c r="I16" s="90"/>
      <x:c r="J16" s="90"/>
      <x:c r="K16" s="90"/>
      <x:c r="L16" s="90"/>
      <x:c r="M16" s="90"/>
    </x:row>
    <x:row r="17">
      <x:c r="A17" s="225" t="str">
        <x:v>4</x:v>
      </x:c>
      <x:c r="B17" s="90" t="str">
        <x:v>La tasa de registro continúa sobre la meta interna (&gt;15%).</x:v>
      </x:c>
      <x:c r="C17" s="90" t="str"/>
      <x:c r="D17" s="185" t="str"/>
      <x:c r="E17" s="90"/>
      <x:c r="F17" s="183" t="str">
        <x:v>Canales</x:v>
      </x:c>
      <x:c r="G17" s="90" t="str">
        <x:v>Meta, WhatsApp, ManyChat, HubSpot</x:v>
      </x:c>
      <x:c r="H17" s="185" t="str"/>
      <x:c r="I17" s="90"/>
      <x:c r="J17" s="90"/>
      <x:c r="K17" s="90"/>
      <x:c r="L17" s="90"/>
      <x:c r="M17" s="90"/>
    </x:row>
    <x:row r="18">
      <x:c r="A18" s="225" t="str">
        <x:v>5</x:v>
      </x:c>
      <x:c r="B18" s="90" t="str">
        <x:v>La primera inversión efectiva sigue siendo el KPI estrella del piloto.</x:v>
      </x:c>
      <x:c r="C18" s="90" t="str"/>
      <x:c r="D18" s="185" t="str"/>
      <x:c r="E18" s="90"/>
      <x:c r="F18" s="183" t="str">
        <x:v>Base</x:v>
      </x:c>
      <x:c r="G18" s="90" t="str">
        <x:v>Informe + rúbrica + capturas Meta</x:v>
      </x:c>
      <x:c r="H18" s="185" t="str"/>
      <x:c r="I18" s="90"/>
      <x:c r="J18" s="90"/>
      <x:c r="K18" s="90"/>
      <x:c r="L18" s="90"/>
      <x:c r="M18" s="90"/>
    </x:row>
    <x:row r="19">
      <x:c r="A19" s="226" t="str">
        <x:v>6</x:v>
      </x:c>
      <x:c r="B19" s="91" t="str">
        <x:v>Email mantiene buena apertura y baja fricción post-registro.</x:v>
      </x:c>
      <x:c r="C19" s="91" t="str"/>
      <x:c r="D19" s="189" t="str"/>
      <x:c r="E19" s="90"/>
      <x:c r="F19" s="187" t="str">
        <x:v>Presupuesto</x:v>
      </x:c>
      <x:c r="G19" s="157" t="n">
        <x:v>2700000</x:v>
      </x:c>
      <x:c r="H19" s="189" t="str"/>
      <x:c r="I19" s="90"/>
      <x:c r="J19" s="90"/>
      <x:c r="K19" s="90"/>
      <x:c r="L19" s="90"/>
      <x:c r="M19" s="90"/>
    </x:row>
    <x:row r="20">
      <x:c r="A20" s="90"/>
      <x:c r="B20" s="90"/>
      <x:c r="C20" s="90"/>
      <x:c r="D20" s="90"/>
      <x:c r="E20" s="90"/>
      <x:c r="F20" s="90"/>
      <x:c r="G20" s="90"/>
      <x:c r="H20" s="90"/>
      <x:c r="I20" s="90"/>
      <x:c r="J20" s="90"/>
      <x:c r="K20" s="90"/>
      <x:c r="L20" s="90"/>
      <x:c r="M20" s="90"/>
    </x:row>
    <x:row r="21">
      <x:c r="A21" s="90"/>
      <x:c r="B21" s="90"/>
      <x:c r="C21" s="90"/>
      <x:c r="D21" s="90"/>
      <x:c r="E21" s="90"/>
      <x:c r="F21" s="90"/>
      <x:c r="G21" s="90"/>
      <x:c r="H21" s="90"/>
      <x:c r="I21" s="90"/>
      <x:c r="J21" s="90"/>
      <x:c r="K21" s="90"/>
      <x:c r="L21" s="90"/>
      <x:c r="M21" s="90"/>
    </x:row>
    <x:row r="22">
      <x:c r="A22" s="90"/>
      <x:c r="B22" s="90"/>
      <x:c r="C22" s="90"/>
      <x:c r="D22" s="90"/>
      <x:c r="E22" s="90"/>
      <x:c r="F22" s="90"/>
      <x:c r="G22" s="90"/>
      <x:c r="H22" s="90"/>
      <x:c r="I22" s="90"/>
      <x:c r="J22" s="90"/>
      <x:c r="K22" s="90"/>
      <x:c r="L22" s="90"/>
      <x:c r="M22" s="90"/>
    </x:row>
    <x:row r="23">
      <x:c r="A23" s="90"/>
      <x:c r="B23" s="90"/>
      <x:c r="C23" s="90"/>
      <x:c r="D23" s="90"/>
      <x:c r="E23" s="90"/>
      <x:c r="F23" s="90"/>
      <x:c r="G23" s="90"/>
      <x:c r="H23" s="90"/>
      <x:c r="I23" s="90"/>
      <x:c r="J23" s="90"/>
      <x:c r="K23" s="90"/>
      <x:c r="L23" s="90"/>
      <x:c r="M23" s="90"/>
    </x:row>
    <x:row r="24">
      <x:c r="A24" s="90"/>
      <x:c r="B24" s="90"/>
      <x:c r="C24" s="90"/>
      <x:c r="D24" s="90"/>
      <x:c r="E24" s="90"/>
      <x:c r="F24" s="90"/>
      <x:c r="G24" s="90"/>
      <x:c r="H24" s="90"/>
      <x:c r="I24" s="90"/>
      <x:c r="J24" s="90"/>
      <x:c r="K24" s="90"/>
      <x:c r="L24" s="90"/>
      <x:c r="M24" s="90"/>
    </x:row>
    <x:row r="25">
      <x:c r="A25" s="90"/>
      <x:c r="B25" s="90"/>
      <x:c r="C25" s="90"/>
      <x:c r="D25" s="90"/>
      <x:c r="E25" s="90"/>
      <x:c r="F25" s="90"/>
      <x:c r="G25" s="90"/>
      <x:c r="H25" s="90"/>
      <x:c r="I25" s="90"/>
      <x:c r="J25" s="90"/>
      <x:c r="K25" s="90"/>
      <x:c r="L25" s="90"/>
      <x:c r="M25" s="90"/>
    </x:row>
    <x:row r="26">
      <x:c r="A26" s="90"/>
      <x:c r="B26" s="90"/>
      <x:c r="C26" s="90"/>
      <x:c r="D26" s="90"/>
      <x:c r="E26" s="90"/>
      <x:c r="F26" s="90"/>
      <x:c r="G26" s="90"/>
      <x:c r="H26" s="90"/>
      <x:c r="I26" s="90"/>
      <x:c r="J26" s="90"/>
      <x:c r="K26" s="90"/>
      <x:c r="L26" s="90"/>
      <x:c r="M26" s="90"/>
    </x:row>
    <x:row r="27">
      <x:c r="A27" s="90"/>
      <x:c r="B27" s="90"/>
      <x:c r="C27" s="90"/>
      <x:c r="D27" s="90"/>
      <x:c r="E27" s="90"/>
      <x:c r="F27" s="90"/>
      <x:c r="G27" s="90"/>
      <x:c r="H27" s="90"/>
      <x:c r="I27" s="90"/>
      <x:c r="J27" s="90"/>
      <x:c r="K27" s="90"/>
      <x:c r="L27" s="90"/>
      <x:c r="M27" s="90"/>
    </x:row>
    <x:row r="28">
      <x:c r="A28" s="90"/>
      <x:c r="B28" s="90"/>
      <x:c r="C28" s="90"/>
      <x:c r="D28" s="90"/>
      <x:c r="E28" s="90"/>
      <x:c r="F28" s="90"/>
      <x:c r="G28" s="90"/>
      <x:c r="H28" s="90"/>
      <x:c r="I28" s="90"/>
      <x:c r="J28" s="90"/>
      <x:c r="K28" s="90"/>
      <x:c r="L28" s="90"/>
      <x:c r="M28" s="90"/>
    </x:row>
    <x:row r="29">
      <x:c r="A29" s="90"/>
      <x:c r="B29" s="90"/>
      <x:c r="C29" s="90"/>
      <x:c r="D29" s="90"/>
      <x:c r="E29" s="90"/>
      <x:c r="F29" s="90"/>
      <x:c r="G29" s="90"/>
      <x:c r="H29" s="90"/>
      <x:c r="I29" s="90"/>
      <x:c r="J29" s="90"/>
      <x:c r="K29" s="90"/>
      <x:c r="L29" s="90"/>
      <x:c r="M29" s="90"/>
    </x:row>
    <x:row r="30">
      <x:c r="A30" s="90"/>
      <x:c r="B30" s="90"/>
      <x:c r="C30" s="90"/>
      <x:c r="D30" s="90"/>
      <x:c r="E30" s="90"/>
      <x:c r="F30" s="90"/>
      <x:c r="G30" s="90"/>
      <x:c r="H30" s="90"/>
      <x:c r="I30" s="90"/>
      <x:c r="J30" s="90"/>
      <x:c r="K30" s="90"/>
      <x:c r="L30" s="90"/>
      <x:c r="M30" s="90"/>
    </x:row>
    <x:row r="31">
      <x:c r="A31" s="90"/>
      <x:c r="B31" s="90"/>
      <x:c r="C31" s="90"/>
      <x:c r="D31" s="90"/>
      <x:c r="E31" s="90"/>
      <x:c r="F31" s="90"/>
      <x:c r="G31" s="90"/>
      <x:c r="H31" s="90"/>
      <x:c r="I31" s="90"/>
      <x:c r="J31" s="90"/>
      <x:c r="K31" s="90"/>
      <x:c r="L31" s="90"/>
      <x:c r="M31" s="90"/>
    </x:row>
    <x:row r="32">
      <x:c r="A32" s="90"/>
      <x:c r="B32" s="90"/>
      <x:c r="C32" s="90"/>
      <x:c r="D32" s="90"/>
      <x:c r="E32" s="90"/>
      <x:c r="F32" s="90"/>
      <x:c r="G32" s="90"/>
      <x:c r="H32" s="90"/>
      <x:c r="I32" s="90"/>
      <x:c r="J32" s="90"/>
      <x:c r="K32" s="90"/>
      <x:c r="L32" s="90"/>
      <x:c r="M32" s="90"/>
    </x:row>
    <x:row r="33">
      <x:c r="A33" s="90"/>
      <x:c r="B33" s="90"/>
      <x:c r="C33" s="90"/>
      <x:c r="D33" s="90"/>
      <x:c r="E33" s="90"/>
      <x:c r="F33" s="90"/>
      <x:c r="G33" s="90"/>
      <x:c r="H33" s="90"/>
      <x:c r="I33" s="90"/>
      <x:c r="J33" s="90"/>
      <x:c r="K33" s="90"/>
      <x:c r="L33" s="90"/>
      <x:c r="M33" s="90"/>
    </x:row>
    <x:row r="34">
      <x:c r="A34" s="90"/>
      <x:c r="B34" s="90"/>
      <x:c r="C34" s="90"/>
      <x:c r="D34" s="90"/>
      <x:c r="E34" s="90"/>
      <x:c r="F34" s="90"/>
      <x:c r="G34" s="90"/>
      <x:c r="H34" s="90"/>
      <x:c r="I34" s="90"/>
      <x:c r="J34" s="90"/>
      <x:c r="K34" s="90"/>
      <x:c r="L34" s="90"/>
      <x:c r="M34" s="90"/>
    </x:row>
    <x:row r="35">
      <x:c r="A35" s="90"/>
      <x:c r="B35" s="90"/>
      <x:c r="C35" s="90"/>
      <x:c r="D35" s="90"/>
      <x:c r="E35" s="90"/>
      <x:c r="F35" s="90"/>
      <x:c r="G35" s="90"/>
      <x:c r="H35" s="90"/>
      <x:c r="I35" s="90"/>
      <x:c r="J35" s="19" t="str">
        <x:v>Campaña</x:v>
      </x:c>
      <x:c r="K35" s="36" t="str">
        <x:v>Leads</x:v>
      </x:c>
      <x:c r="L35" s="36" t="str">
        <x:v>Registros</x:v>
      </x:c>
      <x:c r="M35" s="20" t="str">
        <x:v>1ras inversiones</x:v>
      </x:c>
    </x:row>
    <x:row r="36">
      <x:c r="A36" s="90"/>
      <x:c r="B36" s="90"/>
      <x:c r="C36" s="90"/>
      <x:c r="D36" s="90"/>
      <x:c r="E36" s="90"/>
      <x:c r="F36" s="90"/>
      <x:c r="G36" s="90"/>
      <x:c r="H36" s="90"/>
      <x:c r="I36" s="90"/>
      <x:c r="J36" s="227" t="str">
        <x:v>CUMPLO_INV_TOKEN_Q1</x:v>
      </x:c>
      <x:c r="K36" s="90" t="n">
        <x:v>678</x:v>
      </x:c>
      <x:c r="L36" s="90" t="n">
        <x:v>140</x:v>
      </x:c>
      <x:c r="M36" s="185" t="n">
        <x:v>36</x:v>
      </x:c>
    </x:row>
    <x:row r="37">
      <x:c r="A37" s="90"/>
      <x:c r="B37" s="90"/>
      <x:c r="C37" s="90"/>
      <x:c r="D37" s="90"/>
      <x:c r="E37" s="90"/>
      <x:c r="F37" s="90"/>
      <x:c r="G37" s="90"/>
      <x:c r="H37" s="90"/>
      <x:c r="I37" s="90"/>
      <x:c r="J37" s="228" t="str">
        <x:v>CUMPLO_INV_DIRECTA_Q1</x:v>
      </x:c>
      <x:c r="K37" s="91" t="n">
        <x:v>464</x:v>
      </x:c>
      <x:c r="L37" s="91" t="n">
        <x:v>101</x:v>
      </x:c>
      <x:c r="M37" s="189" t="n">
        <x:v>34</x:v>
      </x:c>
    </x:row>
  </x:sheetData>
  <x:mergeCells>
    <x:mergeCell ref="A1:H1"/>
    <x:mergeCell ref="A3:H3"/>
    <x:mergeCell ref="A5:B7"/>
    <x:mergeCell ref="C5:D7"/>
    <x:mergeCell ref="E5:F7"/>
    <x:mergeCell ref="G5:H7"/>
    <x:mergeCell ref="A9:B11"/>
    <x:mergeCell ref="C9:D11"/>
    <x:mergeCell ref="E9:F11"/>
    <x:mergeCell ref="G9:H11"/>
    <x:mergeCell ref="A5:B5"/>
    <x:mergeCell ref="A6:B7"/>
    <x:mergeCell ref="C5:D5"/>
    <x:mergeCell ref="C6:D7"/>
    <x:mergeCell ref="E5:F5"/>
    <x:mergeCell ref="E6:F7"/>
    <x:mergeCell ref="G5:H5"/>
    <x:mergeCell ref="G6:H7"/>
    <x:mergeCell ref="A9:B9"/>
    <x:mergeCell ref="A10:B11"/>
    <x:mergeCell ref="C9:D9"/>
    <x:mergeCell ref="C10:D11"/>
    <x:mergeCell ref="E9:F9"/>
    <x:mergeCell ref="E10:F11"/>
    <x:mergeCell ref="G9:H9"/>
    <x:mergeCell ref="G10:H11"/>
    <x:mergeCell ref="A13:D13"/>
    <x:mergeCell ref="F13:H13"/>
    <x:mergeCell ref="A6:B6"/>
    <x:mergeCell ref="C6:D6"/>
    <x:mergeCell ref="E6:F6"/>
    <x:mergeCell ref="G6:H6"/>
    <x:mergeCell ref="A8:B8"/>
    <x:mergeCell ref="C8:D8"/>
    <x:mergeCell ref="E8:F8"/>
    <x:mergeCell ref="G8:H8"/>
  </x:mergeCells>
  <x:pageMargins left="0.7" right="0.7" top="0.75" bottom="0.75" header="0.3" footer="0.3"/>
  <x:drawing xmlns:r="http://schemas.openxmlformats.org/officeDocument/2006/relationships" r:id="R4d474d7475974eb7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.569999694824219" hidden="0" customWidth="1"/>
    <x:col min="3" max="3" width="18" hidden="0" customWidth="1"/>
    <x:col min="4" max="4" width="7.860000133514404" hidden="0" customWidth="1"/>
    <x:col min="5" max="5" width="14" hidden="0" customWidth="1"/>
    <x:col min="6" max="6" width="15.289999961853027" hidden="0" customWidth="1"/>
    <x:col min="7" max="7" width="32" hidden="0" customWidth="1"/>
  </x:cols>
  <x:sheetData>
    <x:row r="1" ht="17.08984375" hidden="0" customHeight="1">
      <x:c r="A1" s="93" t="str">
        <x:v>Funnel conversacional simulado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/>
      <x:c r="L1" s="90"/>
      <x:c r="M1" s="90"/>
      <x:c r="N1" s="90"/>
      <x:c r="O1" s="90"/>
      <x:c r="P1" s="90"/>
      <x:c r="Q1" s="90"/>
      <x:c r="R1" s="90"/>
      <x:c r="S1" s="90"/>
      <x:c r="T1" s="90"/>
      <x:c r="U1" s="90"/>
      <x:c r="V1" s="90"/>
      <x:c r="W1" s="90"/>
      <x:c r="X1" s="90"/>
      <x:c r="Y1" s="90"/>
      <x:c r="Z1" s="90"/>
    </x:row>
    <x:row r="2">
      <x:c r="A2" s="90"/>
      <x:c r="B2" s="90"/>
      <x:c r="C2" s="90"/>
      <x:c r="D2" s="90"/>
      <x:c r="E2" s="90"/>
      <x:c r="F2" s="90"/>
      <x:c r="G2" s="90"/>
    </x:row>
    <x:row r="3">
      <x:c r="A3" s="19" t="str">
        <x:v>Etapa</x:v>
      </x:c>
      <x:c r="B3" s="36" t="str">
        <x:v>Volumen</x:v>
      </x:c>
      <x:c r="C3" s="36" t="str">
        <x:v>Base</x:v>
      </x:c>
      <x:c r="D3" s="36" t="str">
        <x:v>Tasa</x:v>
      </x:c>
      <x:c r="E3" s="36" t="str">
        <x:v>Meta interna</x:v>
      </x:c>
      <x:c r="F3" s="36" t="str">
        <x:v>Cumplimiento</x:v>
      </x:c>
      <x:c r="G3" s="20" t="str">
        <x:v>Lectura</x:v>
      </x:c>
    </x:row>
    <x:row r="4">
      <x:c r="A4" s="183" t="str">
        <x:v>Impresiones</x:v>
      </x:c>
      <x:c r="B4" s="192" t="n">
        <x:v>187135</x:v>
      </x:c>
      <x:c r="C4" s="90"/>
      <x:c r="D4" s="90"/>
      <x:c r="E4" s="90"/>
      <x:c r="F4" s="90"/>
      <x:c r="G4" s="185" t="str">
        <x:v>Alcance del piloto ajustado a presupuesto Meta</x:v>
      </x:c>
    </x:row>
    <x:row r="5">
      <x:c r="A5" s="183" t="str">
        <x:v>Clics</x:v>
      </x:c>
      <x:c r="B5" s="192" t="n">
        <x:v>2852</x:v>
      </x:c>
      <x:c r="C5" s="90" t="str">
        <x:v>Impresiones</x:v>
      </x:c>
      <x:c r="D5" s="193" t="n">
        <x:v>0.015240334517861437</x:v>
      </x:c>
      <x:c r="E5" s="229"/>
      <x:c r="F5" s="90"/>
      <x:c r="G5" s="185" t="str">
        <x:v>Tracción de anuncios</x:v>
      </x:c>
    </x:row>
    <x:row r="6">
      <x:c r="A6" s="183" t="str">
        <x:v>Leads captados</x:v>
      </x:c>
      <x:c r="B6" s="192" t="n">
        <x:v>1142</x:v>
      </x:c>
      <x:c r="C6" s="90" t="str">
        <x:v>Clics</x:v>
      </x:c>
      <x:c r="D6" s="193" t="n">
        <x:v>0.40042075736325383</x:v>
      </x:c>
      <x:c r="E6" s="229"/>
      <x:c r="F6" s="90"/>
      <x:c r="G6" s="185" t="str">
        <x:v>Formulario + WhatsApp</x:v>
      </x:c>
    </x:row>
    <x:row r="7">
      <x:c r="A7" s="183" t="str">
        <x:v>Inicio conversación WhatsApp</x:v>
      </x:c>
      <x:c r="B7" s="192" t="n">
        <x:v>697</x:v>
      </x:c>
      <x:c r="C7" s="90" t="str">
        <x:v>Leads</x:v>
      </x:c>
      <x:c r="D7" s="193" t="n">
        <x:v>0.6103327495621717</x:v>
      </x:c>
      <x:c r="E7" s="229"/>
      <x:c r="F7" s="90"/>
      <x:c r="G7" s="185" t="str">
        <x:v>Canal de contacto directo</x:v>
      </x:c>
    </x:row>
    <x:row r="8">
      <x:c r="A8" s="183" t="str">
        <x:v>Respuesta a segmentación</x:v>
      </x:c>
      <x:c r="B8" s="192" t="n">
        <x:v>572</x:v>
      </x:c>
      <x:c r="C8" s="90" t="str">
        <x:v>Inicio conversación</x:v>
      </x:c>
      <x:c r="D8" s="193" t="n">
        <x:v>0.8206599713055954</x:v>
      </x:c>
      <x:c r="E8" s="229"/>
      <x:c r="F8" s="90"/>
      <x:c r="G8" s="185" t="str">
        <x:v>Enganche del flujo</x:v>
      </x:c>
    </x:row>
    <x:row r="9">
      <x:c r="A9" s="183" t="str">
        <x:v>Avance al CTA final</x:v>
      </x:c>
      <x:c r="B9" s="192" t="n">
        <x:v>464</x:v>
      </x:c>
      <x:c r="C9" s="90" t="str">
        <x:v>Inicio conversación</x:v>
      </x:c>
      <x:c r="D9" s="193" t="n">
        <x:v>0.6657101865136298</x:v>
      </x:c>
      <x:c r="E9" s="190" t="n">
        <x:v>0.5</x:v>
      </x:c>
      <x:c r="F9" s="90" t="str">
        <x:v>Cumple</x:v>
      </x:c>
      <x:c r="G9" s="185" t="str">
        <x:v>Meta interna &gt;50%</x:v>
      </x:c>
    </x:row>
    <x:row r="10">
      <x:c r="A10" s="183" t="str">
        <x:v>Registros completos</x:v>
      </x:c>
      <x:c r="B10" s="192" t="n">
        <x:v>241</x:v>
      </x:c>
      <x:c r="C10" s="90" t="str">
        <x:v>Leads</x:v>
      </x:c>
      <x:c r="D10" s="193" t="n">
        <x:v>0.21103327495621715</x:v>
      </x:c>
      <x:c r="E10" s="190" t="n">
        <x:v>0.15</x:v>
      </x:c>
      <x:c r="F10" s="90" t="str">
        <x:v>Cumple</x:v>
      </x:c>
      <x:c r="G10" s="185" t="str">
        <x:v>Meta interna &gt;15%</x:v>
      </x:c>
    </x:row>
    <x:row r="11">
      <x:c r="A11" s="183" t="str">
        <x:v>Exploración de oportunidades</x:v>
      </x:c>
      <x:c r="B11" s="192" t="n">
        <x:v>154</x:v>
      </x:c>
      <x:c r="C11" s="90" t="str">
        <x:v>Registros</x:v>
      </x:c>
      <x:c r="D11" s="193" t="n">
        <x:v>0.6390041493775933</x:v>
      </x:c>
      <x:c r="E11" s="229"/>
      <x:c r="F11" s="90"/>
      <x:c r="G11" s="185" t="str">
        <x:v>Señal de intención</x:v>
      </x:c>
    </x:row>
    <x:row r="12">
      <x:c r="A12" s="187" t="str">
        <x:v>Primera inversión efectiva</x:v>
      </x:c>
      <x:c r="B12" s="196" t="n">
        <x:v>70</x:v>
      </x:c>
      <x:c r="C12" s="91" t="str">
        <x:v>Registros</x:v>
      </x:c>
      <x:c r="D12" s="197" t="n">
        <x:v>0.29045643153526973</x:v>
      </x:c>
      <x:c r="E12" s="230"/>
      <x:c r="F12" s="91"/>
      <x:c r="G12" s="189" t="str">
        <x:v>KPI estrella</x:v>
      </x:c>
    </x:row>
  </x:sheetData>
  <x:mergeCells>
    <x:mergeCell ref="A1:G1"/>
  </x:mergeCells>
  <x:conditionalFormatting sqref="F8:F9">
    <x:cfRule type="expression" dxfId="0" priority="1">
      <x:formula>F8="Cumple"</x:formula>
    </x:cfRule>
    <x:cfRule type="expression" dxfId="1" priority="2">
      <x:formula>F8="Bajo meta"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2849287f649487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.709999084472656" hidden="0" customWidth="1"/>
    <x:col min="3" max="3" width="13.430000305175781" hidden="0" customWidth="1"/>
    <x:col min="4" max="4" width="12" hidden="0" customWidth="1"/>
    <x:col min="5" max="5" width="6.570000171661377" hidden="0" customWidth="1"/>
    <x:col min="6" max="6" width="6.139999866485596" hidden="0" customWidth="1"/>
    <x:col min="7" max="7" width="9.710000038146973" hidden="0" customWidth="1"/>
    <x:col min="8" max="8" width="17.290000915527344" hidden="0" customWidth="1"/>
    <x:col min="9" max="9" width="7.289999961853027" hidden="0" customWidth="1"/>
    <x:col min="10" max="10" width="15.289999961853027" hidden="0" customWidth="1"/>
    <x:col min="11" max="11" width="21" hidden="0" customWidth="1"/>
    <x:col min="12" max="12" width="0.05000000074505806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17.08984375" hidden="0" customHeight="1">
      <x:c r="A1" s="93" t="str">
        <x:v>Desempeño por campaña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/>
      <x:c r="L1" s="90"/>
      <x:c r="M1" s="90" t="str">
        <x:v>Ajuste aplicado</x:v>
      </x:c>
      <x:c r="N1" s="90"/>
      <x:c r="O1" s="90"/>
      <x:c r="P1" s="90"/>
      <x:c r="Q1" s="90"/>
      <x:c r="R1" s="90"/>
      <x:c r="S1" s="90"/>
      <x:c r="T1" s="90"/>
      <x:c r="U1" s="90"/>
      <x:c r="V1" s="90"/>
      <x:c r="W1" s="90"/>
      <x:c r="X1" s="90"/>
      <x:c r="Y1" s="90"/>
      <x:c r="Z1" s="90"/>
    </x:row>
    <x:row r="2">
      <x:c r="A2" s="90"/>
      <x:c r="B2" s="90"/>
      <x:c r="C2" s="90"/>
      <x:c r="D2" s="90"/>
      <x:c r="E2" s="90"/>
      <x:c r="F2" s="90"/>
      <x:c r="G2" s="90"/>
      <x:c r="H2" s="90"/>
      <x:c r="I2" s="90"/>
      <x:c r="J2" s="90"/>
      <x:c r="K2" s="90"/>
      <x:c r="L2" s="90"/>
      <x:c r="M2" s="90"/>
      <x:c r="N2" s="90"/>
      <x:c r="O2" s="90"/>
      <x:c r="P2" s="90"/>
    </x:row>
    <x:row r="3">
      <x:c r="A3" s="19" t="str">
        <x:v>Campaña</x:v>
      </x:c>
      <x:c r="B3" s="36" t="str">
        <x:v>Inversión CLP</x:v>
      </x:c>
      <x:c r="C3" s="36" t="str">
        <x:v>Impresiones</x:v>
      </x:c>
      <x:c r="D3" s="36" t="str">
        <x:v>Clics</x:v>
      </x:c>
      <x:c r="E3" s="36" t="str">
        <x:v>CTR</x:v>
      </x:c>
      <x:c r="F3" s="36" t="str">
        <x:v>Leads</x:v>
      </x:c>
      <x:c r="G3" s="36" t="str">
        <x:v>Registros</x:v>
      </x:c>
      <x:c r="H3" s="36" t="str">
        <x:v>1ras inversiones</x:v>
      </x:c>
      <x:c r="I3" s="36" t="str">
        <x:v>CPL</x:v>
      </x:c>
      <x:c r="J3" s="36" t="str">
        <x:v>Costo/registro</x:v>
      </x:c>
      <x:c r="K3" s="20" t="str">
        <x:v>Costo/1ra inversión</x:v>
      </x:c>
      <x:c r="L3" s="90"/>
      <x:c r="M3" s="90" t="str">
        <x:v>Base del ajuste</x:v>
      </x:c>
      <x:c r="N3" s="90" t="str">
        <x:v>Capturas Meta adjuntas</x:v>
      </x:c>
      <x:c r="O3" s="90" t="str">
        <x:v>Token: $40.000/día</x:v>
      </x:c>
      <x:c r="P3" s="90" t="str">
        <x:v>Directa: $50.000/día</x:v>
      </x:c>
    </x:row>
    <x:row r="4">
      <x:c r="A4" s="183" t="str">
        <x:v>CUMPLO_INV_TOKEN_Q1</x:v>
      </x:c>
      <x:c r="B4" s="191" t="n">
        <x:f>Inputs!$B$5*Inputs!$B$4</x:f>
        <x:v>1200000</x:v>
      </x:c>
      <x:c r="C4" s="192" t="n">
        <x:v>97135</x:v>
      </x:c>
      <x:c r="D4" s="192" t="n">
        <x:v>1797</x:v>
      </x:c>
      <x:c r="E4" s="193" t="n">
        <x:v>0.018500025737375816</x:v>
      </x:c>
      <x:c r="F4" s="192" t="n">
        <x:v>678</x:v>
      </x:c>
      <x:c r="G4" s="192" t="n">
        <x:v>140</x:v>
      </x:c>
      <x:c r="H4" s="192" t="n">
        <x:v>36</x:v>
      </x:c>
      <x:c r="I4" s="191" t="n">
        <x:f>B4/F4</x:f>
        <x:v>1769.9115044247787</x:v>
      </x:c>
      <x:c r="J4" s="191" t="n">
        <x:f>B4/G4</x:f>
        <x:v>8571.42857142857</x:v>
      </x:c>
      <x:c r="K4" s="186" t="n">
        <x:f>B4/H4</x:f>
        <x:v>33333.333333333336</x:v>
      </x:c>
      <x:c r="L4" s="90"/>
      <x:c r="M4" s="194" t="str">
        <x:v>Periodo</x:v>
      </x:c>
      <x:c r="N4" s="90" t="str">
        <x:v>30 días</x:v>
      </x:c>
      <x:c r="O4" s="90" t="str">
        <x:v>Presupuesto total</x:v>
      </x:c>
      <x:c r="P4" s="191" t="n">
        <x:f>Inputs!$B$8</x:f>
        <x:v>2700000</x:v>
      </x:c>
    </x:row>
    <x:row r="5">
      <x:c r="A5" s="183" t="str">
        <x:v>CUMPLO_INV_DIRECTA_Q1</x:v>
      </x:c>
      <x:c r="B5" s="191" t="n">
        <x:f>Inputs!$B$6*Inputs!$B$4</x:f>
        <x:v>1500000</x:v>
      </x:c>
      <x:c r="C5" s="192" t="n">
        <x:v>90000</x:v>
      </x:c>
      <x:c r="D5" s="192" t="n">
        <x:v>1055</x:v>
      </x:c>
      <x:c r="E5" s="193" t="n">
        <x:v>0.011722222222222222</x:v>
      </x:c>
      <x:c r="F5" s="192" t="n">
        <x:v>464</x:v>
      </x:c>
      <x:c r="G5" s="192" t="n">
        <x:v>101</x:v>
      </x:c>
      <x:c r="H5" s="192" t="n">
        <x:v>34</x:v>
      </x:c>
      <x:c r="I5" s="191" t="n">
        <x:f>B5/F5</x:f>
        <x:v>3232.7586206896553</x:v>
      </x:c>
      <x:c r="J5" s="191" t="n">
        <x:f>B5/G5</x:f>
        <x:v>14851.485148514852</x:v>
      </x:c>
      <x:c r="K5" s="186" t="n">
        <x:f>B5/H5</x:f>
        <x:v>44117.64705882353</x:v>
      </x:c>
      <x:c r="L5" s="90"/>
      <x:c r="M5" s="195"/>
      <x:c r="N5" s="90"/>
      <x:c r="O5" s="90"/>
      <x:c r="P5" s="90"/>
    </x:row>
    <x:row r="6">
      <x:c r="A6" s="187" t="str">
        <x:v>Total</x:v>
      </x:c>
      <x:c r="B6" s="157" t="n">
        <x:f>SUM(B4:B5)</x:f>
        <x:v>2700000</x:v>
      </x:c>
      <x:c r="C6" s="196" t="n">
        <x:f>SUM(C4:C5)</x:f>
        <x:v>187135</x:v>
      </x:c>
      <x:c r="D6" s="196" t="n">
        <x:f>SUM(D4:D5)</x:f>
        <x:v>2852</x:v>
      </x:c>
      <x:c r="E6" s="197" t="n">
        <x:f>D6/C6</x:f>
        <x:v>0.015240334517861437</x:v>
      </x:c>
      <x:c r="F6" s="196" t="n">
        <x:f>SUM(F4:F5)</x:f>
        <x:v>1142</x:v>
      </x:c>
      <x:c r="G6" s="196" t="n">
        <x:f>SUM(G4:G5)</x:f>
        <x:v>241</x:v>
      </x:c>
      <x:c r="H6" s="196" t="n">
        <x:f>SUM(H4:H5)</x:f>
        <x:v>70</x:v>
      </x:c>
      <x:c r="I6" s="157" t="n">
        <x:f>B6/F6</x:f>
        <x:v>2364.2732049036777</x:v>
      </x:c>
      <x:c r="J6" s="157" t="n">
        <x:f>B6/G6</x:f>
        <x:v>11203.319502074688</x:v>
      </x:c>
      <x:c r="K6" s="188" t="n">
        <x:f>B6/H6</x:f>
        <x:v>38571.42857142857</x:v>
      </x:c>
      <x:c r="L6" s="90"/>
      <x:c r="M6" s="198"/>
      <x:c r="N6" s="90"/>
      <x:c r="O6" s="90"/>
      <x:c r="P6" s="90"/>
    </x:row>
    <x:row r="7">
      <x:c r="A7" s="9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90"/>
      <x:c r="M7" s="194"/>
      <x:c r="N7" s="90"/>
      <x:c r="O7" s="90"/>
      <x:c r="P7" s="90"/>
    </x:row>
    <x:row r="8">
      <x:c r="A8" s="90"/>
      <x:c r="B8" s="90"/>
      <x:c r="C8" s="90"/>
      <x:c r="D8" s="90"/>
      <x:c r="E8" s="90"/>
      <x:c r="F8" s="90"/>
      <x:c r="G8" s="90"/>
      <x:c r="H8" s="90"/>
      <x:c r="I8" s="90"/>
      <x:c r="J8" s="90"/>
      <x:c r="K8" s="90"/>
      <x:c r="L8" s="90"/>
      <x:c r="M8" s="194"/>
      <x:c r="N8" s="90"/>
      <x:c r="O8" s="90"/>
      <x:c r="P8" s="90"/>
    </x:row>
    <x:row r="9">
      <x:c r="A9" s="19" t="str">
        <x:v>Indicador de negocio</x:v>
      </x:c>
      <x:c r="B9" s="36" t="str">
        <x:v>Fórmula</x:v>
      </x:c>
      <x:c r="C9" s="36" t="str">
        <x:v>Resultado</x:v>
      </x:c>
      <x:c r="D9" s="20" t="str">
        <x:v>Interpretación</x:v>
      </x:c>
      <x:c r="E9" s="90" t="str"/>
      <x:c r="F9" s="90" t="str"/>
      <x:c r="G9" s="90"/>
      <x:c r="H9" s="90"/>
      <x:c r="I9" s="90"/>
      <x:c r="J9" s="90"/>
      <x:c r="K9" s="90"/>
      <x:c r="L9" s="90"/>
      <x:c r="M9" s="194"/>
      <x:c r="N9" s="90"/>
      <x:c r="O9" s="90"/>
      <x:c r="P9" s="90"/>
    </x:row>
    <x:row r="10">
      <x:c r="A10" s="183" t="str">
        <x:v>Capital movilizado inicial</x:v>
      </x:c>
      <x:c r="B10" s="90" t="str">
        <x:v>1ras inversiones x ticket promedio</x:v>
      </x:c>
      <x:c r="C10" s="191" t="n">
        <x:f>C13+C14</x:f>
        <x:v>20760000</x:v>
      </x:c>
      <x:c r="D10" s="185" t="str">
        <x:v>Monto inicial generado por el piloto ajustado a la nueva configuración Meta</x:v>
      </x:c>
      <x:c r="E10" s="90" t="str"/>
      <x:c r="F10" s="90" t="str"/>
      <x:c r="G10" s="90"/>
      <x:c r="H10" s="90"/>
      <x:c r="I10" s="90"/>
      <x:c r="J10" s="90"/>
      <x:c r="K10" s="90"/>
      <x:c r="L10" s="90"/>
      <x:c r="M10" s="194"/>
      <x:c r="N10" s="90"/>
      <x:c r="O10" s="90"/>
      <x:c r="P10" s="90"/>
    </x:row>
    <x:row r="11">
      <x:c r="A11" s="183" t="str">
        <x:v>Ticket promedio Tokens</x:v>
      </x:c>
      <x:c r="B11" s="90" t="str">
        <x:v>Input</x:v>
      </x:c>
      <x:c r="C11" s="191" t="n">
        <x:f>Inputs!$B$9</x:f>
        <x:v>180000</x:v>
      </x:c>
      <x:c r="D11" s="185" t="str">
        <x:v>Menor barrera de entrada</x:v>
      </x:c>
      <x:c r="E11" s="90" t="str"/>
      <x:c r="F11" s="90" t="str"/>
      <x:c r="G11" s="90"/>
      <x:c r="H11" s="90"/>
      <x:c r="I11" s="90"/>
      <x:c r="J11" s="90"/>
      <x:c r="K11" s="90"/>
      <x:c r="L11" s="90"/>
      <x:c r="M11" s="90"/>
      <x:c r="N11" s="90"/>
      <x:c r="O11" s="90"/>
      <x:c r="P11" s="90"/>
    </x:row>
    <x:row r="12">
      <x:c r="A12" s="183" t="str">
        <x:v>Ticket promedio Directa</x:v>
      </x:c>
      <x:c r="B12" s="90" t="str">
        <x:v>Input</x:v>
      </x:c>
      <x:c r="C12" s="191" t="n">
        <x:f>Inputs!$B$10</x:f>
        <x:v>420000</x:v>
      </x:c>
      <x:c r="D12" s="185" t="str">
        <x:v>Mayor valor por lead</x:v>
      </x:c>
      <x:c r="E12" s="90" t="str"/>
      <x:c r="F12" s="90" t="str"/>
      <x:c r="G12" s="90"/>
      <x:c r="H12" s="90"/>
      <x:c r="I12" s="90"/>
      <x:c r="J12" s="90"/>
      <x:c r="K12" s="90"/>
      <x:c r="L12" s="90"/>
      <x:c r="M12" s="90"/>
      <x:c r="N12" s="90"/>
      <x:c r="O12" s="90"/>
      <x:c r="P12" s="90"/>
    </x:row>
    <x:row r="13">
      <x:c r="A13" s="183" t="str">
        <x:v>Capital Tokens</x:v>
      </x:c>
      <x:c r="B13" s="90" t="str">
        <x:v>H4 x ticket Tokens</x:v>
      </x:c>
      <x:c r="C13" s="191" t="n">
        <x:f>H4*C11</x:f>
        <x:v>6480000</x:v>
      </x:c>
      <x:c r="D13" s="185" t="str">
        <x:v>Capital estimado por perfil conservador</x:v>
      </x:c>
      <x:c r="E13" s="90" t="str"/>
      <x:c r="F13" s="90" t="str"/>
      <x:c r="G13" s="90"/>
      <x:c r="H13" s="90"/>
      <x:c r="I13" s="90"/>
      <x:c r="J13" s="90"/>
      <x:c r="K13" s="90"/>
      <x:c r="L13" s="90"/>
      <x:c r="M13" s="90"/>
      <x:c r="N13" s="90"/>
      <x:c r="O13" s="90"/>
      <x:c r="P13" s="90"/>
    </x:row>
    <x:row r="14">
      <x:c r="A14" s="187" t="str">
        <x:v>Capital Directa</x:v>
      </x:c>
      <x:c r="B14" s="91" t="str">
        <x:v>H5 x ticket Directa</x:v>
      </x:c>
      <x:c r="C14" s="157" t="n">
        <x:f>H5*C12</x:f>
        <x:v>14280000</x:v>
      </x:c>
      <x:c r="D14" s="189" t="str">
        <x:v>Capital estimado por perfil sofisticado</x:v>
      </x:c>
      <x:c r="E14" s="90" t="str"/>
      <x:c r="F14" s="90" t="str"/>
      <x:c r="G14" s="90"/>
      <x:c r="H14" s="90"/>
      <x:c r="I14" s="90"/>
      <x:c r="J14" s="90"/>
      <x:c r="K14" s="90"/>
      <x:c r="L14" s="90"/>
      <x:c r="M14" s="90"/>
      <x:c r="N14" s="90"/>
      <x:c r="O14" s="90"/>
      <x:c r="P14" s="90"/>
    </x:row>
    <x:row r="15">
      <x:c r="A15" s="90"/>
      <x:c r="B15" s="90"/>
      <x:c r="C15" s="90"/>
      <x:c r="D15" s="90"/>
      <x:c r="E15" s="90"/>
      <x:c r="F15" s="90"/>
      <x:c r="G15" s="90"/>
      <x:c r="H15" s="90"/>
      <x:c r="I15" s="90"/>
      <x:c r="J15" s="90"/>
      <x:c r="K15" s="90"/>
      <x:c r="L15" s="90"/>
      <x:c r="M15" s="90"/>
      <x:c r="N15" s="90"/>
      <x:c r="O15" s="90"/>
      <x:c r="P15" s="90"/>
    </x:row>
    <x:row r="16">
      <x:c r="A16" s="90"/>
      <x:c r="B16" s="90"/>
      <x:c r="C16" s="90"/>
      <x:c r="D16" s="90"/>
      <x:c r="E16" s="90"/>
      <x:c r="F16" s="90"/>
      <x:c r="G16" s="90"/>
      <x:c r="H16" s="90"/>
      <x:c r="I16" s="90"/>
      <x:c r="J16" s="90"/>
      <x:c r="K16" s="90"/>
      <x:c r="L16" s="90"/>
      <x:c r="M16" s="90"/>
      <x:c r="N16" s="90"/>
      <x:c r="O16" s="90"/>
      <x:c r="P16" s="90"/>
    </x:row>
    <x:row r="17">
      <x:c r="A17" s="90"/>
      <x:c r="B17" s="90"/>
      <x:c r="C17" s="90"/>
      <x:c r="D17" s="90"/>
      <x:c r="E17" s="90"/>
      <x:c r="F17" s="90"/>
      <x:c r="G17" s="90"/>
      <x:c r="H17" s="90"/>
      <x:c r="I17" s="90"/>
      <x:c r="J17" s="90"/>
      <x:c r="K17" s="90"/>
      <x:c r="L17" s="90"/>
      <x:c r="M17" s="90"/>
      <x:c r="N17" s="90"/>
      <x:c r="O17" s="90"/>
      <x:c r="P17" s="90"/>
    </x:row>
    <x:row r="18">
      <x:c r="A18" s="90"/>
      <x:c r="B18" s="90"/>
      <x:c r="C18" s="90"/>
      <x:c r="D18" s="90"/>
      <x:c r="E18" s="90"/>
      <x:c r="F18" s="90"/>
      <x:c r="G18" s="90"/>
      <x:c r="H18" s="90"/>
      <x:c r="I18" s="90"/>
      <x:c r="J18" s="90"/>
      <x:c r="K18" s="90"/>
      <x:c r="L18" s="90"/>
      <x:c r="M18" s="90"/>
      <x:c r="N18" s="90"/>
      <x:c r="O18" s="90"/>
      <x:c r="P18" s="90"/>
    </x:row>
    <x:row r="19">
      <x:c r="A19" s="90"/>
      <x:c r="B19" s="90"/>
      <x:c r="C19" s="90"/>
      <x:c r="D19" s="90"/>
      <x:c r="E19" s="90"/>
      <x:c r="F19" s="90"/>
      <x:c r="G19" s="90"/>
      <x:c r="H19" s="90"/>
      <x:c r="I19" s="90"/>
      <x:c r="J19" s="90"/>
      <x:c r="K19" s="90"/>
      <x:c r="L19" s="90"/>
      <x:c r="M19" s="90"/>
      <x:c r="N19" s="90"/>
      <x:c r="O19" s="90"/>
      <x:c r="P19" s="90"/>
    </x:row>
    <x:row r="20">
      <x:c r="A20" s="90"/>
      <x:c r="B20" s="90"/>
      <x:c r="C20" s="90"/>
      <x:c r="D20" s="90"/>
      <x:c r="E20" s="90"/>
      <x:c r="F20" s="90"/>
      <x:c r="G20" s="90"/>
      <x:c r="H20" s="90"/>
      <x:c r="I20" s="90"/>
      <x:c r="J20" s="90"/>
      <x:c r="K20" s="90"/>
      <x:c r="L20" s="90"/>
      <x:c r="M20" s="90"/>
      <x:c r="N20" s="90"/>
      <x:c r="O20" s="90"/>
      <x:c r="P20" s="90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5111f897248470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.570000171661377" hidden="0" customWidth="1"/>
    <x:col min="3" max="3" width="14" hidden="0" customWidth="1"/>
    <x:col min="4" max="4" width="15.289999961853027" hidden="0" customWidth="1"/>
    <x:col min="5" max="5" width="30" hidden="0" customWidth="1"/>
    <x:col min="6" max="6" width="17.56999969482422" hidden="0" customWidth="1"/>
  </x:cols>
  <x:sheetData>
    <x:row r="1" ht="17.08984375" hidden="0" customHeight="1">
      <x:c r="A1" s="93" t="str">
        <x:v>Nutrición por email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/>
      <x:c r="L1" s="90"/>
      <x:c r="M1" s="90"/>
      <x:c r="N1" s="90"/>
      <x:c r="O1" s="90"/>
      <x:c r="P1" s="90"/>
      <x:c r="Q1" s="90"/>
      <x:c r="R1" s="90"/>
      <x:c r="S1" s="90"/>
      <x:c r="T1" s="90"/>
      <x:c r="U1" s="90"/>
      <x:c r="V1" s="90"/>
      <x:c r="W1" s="90"/>
      <x:c r="X1" s="90"/>
      <x:c r="Y1" s="90"/>
      <x:c r="Z1" s="90"/>
    </x:row>
    <x:row r="3">
      <x:c r="A3" s="19" t="str">
        <x:v>Métrica</x:v>
      </x:c>
      <x:c r="B3" s="36" t="str">
        <x:v>Valor</x:v>
      </x:c>
      <x:c r="C3" s="36" t="str">
        <x:v>Meta interna</x:v>
      </x:c>
      <x:c r="D3" s="36" t="str">
        <x:v>Cumplimiento</x:v>
      </x:c>
      <x:c r="E3" s="36" t="str">
        <x:v>Comentario</x:v>
      </x:c>
      <x:c r="F3" s="20" t="str">
        <x:v>Fuente de meta</x:v>
      </x:c>
    </x:row>
    <x:row r="4">
      <x:c r="A4" s="23" t="str">
        <x:v>Open rate</x:v>
      </x:c>
      <x:c r="B4" s="37" t="n">
        <x:v>0.41</x:v>
      </x:c>
      <x:c r="C4" s="37" t="n">
        <x:v>0.3</x:v>
      </x:c>
      <x:c r="D4" s="30" t="str">
        <x:f>IF(B4&gt;=C4,"Cumple","Bajo meta")</x:f>
        <x:v>Cumple</x:v>
      </x:c>
      <x:c r="E4" s="30" t="str">
        <x:v>Supera la meta interna del informe</x:v>
      </x:c>
      <x:c r="F4" s="8" t="str">
        <x:v>Informe Cumplo</x:v>
      </x:c>
    </x:row>
    <x:row r="5">
      <x:c r="A5" s="23" t="str">
        <x:v>CTR email</x:v>
      </x:c>
      <x:c r="B5" s="37" t="n">
        <x:v>0.14</x:v>
      </x:c>
      <x:c r="C5" s="37" t="str"/>
      <x:c r="D5" s="30" t="str"/>
      <x:c r="E5" s="30" t="str">
        <x:v>Secuencia útil y segmentada</x:v>
      </x:c>
      <x:c r="F5" s="8" t="str">
        <x:v>Simulación</x:v>
      </x:c>
    </x:row>
    <x:row r="6">
      <x:c r="A6" s="23" t="str">
        <x:v>Tasa de baja</x:v>
      </x:c>
      <x:c r="B6" s="37" t="n">
        <x:v>0.011</x:v>
      </x:c>
      <x:c r="C6" s="37" t="str"/>
      <x:c r="D6" s="30" t="str"/>
      <x:c r="E6" s="30" t="str">
        <x:v>Baja fricción</x:v>
      </x:c>
      <x:c r="F6" s="8" t="str">
        <x:v>Simulación</x:v>
      </x:c>
    </x:row>
    <x:row r="7">
      <x:c r="A7" s="24" t="str">
        <x:v>Reactivación por cambio de asunto</x:v>
      </x:c>
      <x:c r="B7" s="38" t="n">
        <x:v>0.09</x:v>
      </x:c>
      <x:c r="C7" s="38" t="str"/>
      <x:c r="D7" s="31" t="str"/>
      <x:c r="E7" s="31" t="str">
        <x:v>Porcentaje adicional estimado de aperturas</x:v>
      </x:c>
      <x:c r="F7" s="10" t="str">
        <x:v>Simulación</x:v>
      </x:c>
    </x:row>
  </x:sheetData>
  <x:mergeCells>
    <x:mergeCell ref="A1:F1"/>
  </x:mergeCells>
  <x:conditionalFormatting sqref="D4:D4">
    <x:cfRule type="expression" dxfId="2" priority="1">
      <x:formula>D4="Cumple"</x:formula>
    </x:cfRule>
    <x:cfRule type="expression" dxfId="3" priority="2">
      <x:formula>D4="Bajo meta"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cdf0ddffc4e41c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8" hidden="0" customWidth="1"/>
    <x:col min="4" max="4" width="24" hidden="0" customWidth="1"/>
  </x:cols>
  <x:sheetData>
    <x:row r="1" ht="17.08984375" hidden="0" customHeight="1">
      <x:c r="A1" s="93" t="str">
        <x:v>Fuentes y base de construcción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/>
      <x:c r="L1" s="90"/>
      <x:c r="M1" s="90"/>
      <x:c r="N1" s="90"/>
      <x:c r="O1" s="90"/>
      <x:c r="P1" s="90"/>
      <x:c r="Q1" s="90"/>
      <x:c r="R1" s="90"/>
      <x:c r="S1" s="90"/>
      <x:c r="T1" s="90"/>
      <x:c r="U1" s="90"/>
      <x:c r="V1" s="90"/>
      <x:c r="W1" s="90"/>
      <x:c r="X1" s="90"/>
      <x:c r="Y1" s="90"/>
      <x:c r="Z1" s="90"/>
    </x:row>
    <x:row r="2">
      <x:c r="A2" s="90"/>
      <x:c r="B2" s="90"/>
      <x:c r="C2" s="90"/>
      <x:c r="D2" s="90"/>
    </x:row>
    <x:row r="3">
      <x:c r="A3" s="19" t="str">
        <x:v>Tipo</x:v>
      </x:c>
      <x:c r="B3" s="36" t="str">
        <x:v>Referencia</x:v>
      </x:c>
      <x:c r="C3" s="36" t="str">
        <x:v>Detalle</x:v>
      </x:c>
      <x:c r="D3" s="20" t="str">
        <x:v>Observación</x:v>
      </x:c>
    </x:row>
    <x:row r="4">
      <x:c r="A4" s="183" t="str">
        <x:v>Informe base</x:v>
      </x:c>
      <x:c r="B4" s="90" t="str">
        <x:v>Informe_Cumplo_v2_Visual (1).docx</x:v>
      </x:c>
      <x:c r="C4" s="90" t="str">
        <x:v>Objetivos, funnel, segmentos, KPIs y lógica de campaña.</x:v>
      </x:c>
      <x:c r="D4" s="185" t="str">
        <x:v>Documento de referencia principal</x:v>
      </x:c>
    </x:row>
    <x:row r="5">
      <x:c r="A5" s="183" t="str">
        <x:v>Rúbrica</x:v>
      </x:c>
      <x:c r="B5" s="90" t="str">
        <x:v>MKA1215_EP1_Instrucciones y Pauta_Estudiante.pdf</x:v>
      </x:c>
      <x:c r="C5" s="90" t="str">
        <x:v>Criterios de evaluación para encargo y presentación.</x:v>
      </x:c>
      <x:c r="D5" s="185" t="str">
        <x:v>Guía para justificar la simulación</x:v>
      </x:c>
    </x:row>
    <x:row r="6">
      <x:c r="A6" s="183" t="str">
        <x:v>Sitio corporativo</x:v>
      </x:c>
      <x:c r="B6" s="90" t="str">
        <x:v>https://cumplo.com/</x:v>
      </x:c>
      <x:c r="C6" s="90" t="str">
        <x:v>Base de contexto de marca mencionada en el informe.</x:v>
      </x:c>
      <x:c r="D6" s="185" t="str">
        <x:v>Referencia citada en el informe</x:v>
      </x:c>
    </x:row>
    <x:row r="7">
      <x:c r="A7" s="183" t="str">
        <x:v>Landing inversionistas</x:v>
      </x:c>
      <x:c r="B7" s="90" t="str">
        <x:v>https://invierte.cumplo.com/</x:v>
      </x:c>
      <x:c r="C7" s="90" t="str">
        <x:v>Propuesta de valor para inversionistas citada en el informe.</x:v>
      </x:c>
      <x:c r="D7" s="185" t="str">
        <x:v>Referencia citada en el informe</x:v>
      </x:c>
    </x:row>
    <x:row r="8">
      <x:c r="A8" s="187" t="str">
        <x:v>Clase</x:v>
      </x:c>
      <x:c r="B8" s="91" t="str">
        <x:v>Diseño conversacional Estrategia y planificación</x:v>
      </x:c>
      <x:c r="C8" s="91" t="str">
        <x:v>Buenas prácticas de flujos, CTA, valor y métricas.</x:v>
      </x:c>
      <x:c r="D8" s="189" t="str">
        <x:v>Apoyo conceptual</x:v>
      </x:c>
    </x:row>
    <x:row r="9">
      <x:c r="A9" s="187" t="str">
        <x:v>Clase</x:v>
      </x:c>
      <x:c r="B9" s="91" t="str">
        <x:v>Rol de las Redes Sociales en Inbound Marketing</x:v>
      </x:c>
      <x:c r="C9" s="91" t="str">
        <x:v>Rol del chat, RRSS y métricas de negocio.</x:v>
      </x:c>
      <x:c r="D9" s="189" t="str">
        <x:v>Apoyo conceptual</x:v>
      </x:c>
    </x:row>
    <x:row r="10">
      <x:c r="A10" s="90" t="str">
        <x:v>Configuración Meta (campañas)</x:v>
      </x:c>
      <x:c r="B10" s="90" t="str">
        <x:v>Capturas adjuntas por el usuario</x:v>
      </x:c>
      <x:c r="C10" s="90" t="str">
        <x:v>Base para ajustar nombres, segmentación y presupuestos diarios</x:v>
      </x:c>
      <x:c r="D10" s="90" t="str">
        <x:v>Conversación actual</x:v>
      </x:c>
    </x:row>
    <x:row r="11">
      <x:c r="A11" s="90" t="str">
        <x:v>Supuesto de proyección</x:v>
      </x:c>
      <x:c r="B11" s="90" t="str">
        <x:v>Escalamiento proporcional del rendimiento de Tokens</x:v>
      </x:c>
      <x:c r="C11" s="90" t="str">
        <x:v>Se mantuvieron tasas de eficiencia para recalcular el piloto con nuevo presupuesto</x:v>
      </x:c>
      <x:c r="D11" s="90" t="str">
        <x:v>Modelo académico</x:v>
      </x:c>
    </x:row>
    <x:row r="12">
      <x:c r="A12" s="90"/>
      <x:c r="B12" s="90"/>
      <x:c r="C12" s="90"/>
      <x:c r="D12" s="90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fa75060ad854b5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</x:cols>
  <x:sheetData>
    <x:row r="1" ht="34.1796875" hidden="0" customHeight="1">
      <x:c r="A1" s="161" t="str">
        <x:v>ESTRUCTURA EN META</x:v>
      </x:c>
      <x:c r="B1" s="161"/>
      <x:c r="C1" s="161"/>
      <x:c r="D1" s="161"/>
      <x:c r="E1" s="161"/>
      <x:c r="F1" s="161"/>
    </x:row>
    <x:row r="2" ht="17.08984375" hidden="0" customHeight="1">
      <x:c r="A2" s="159"/>
      <x:c r="B2" s="159"/>
      <x:c r="C2" s="159"/>
      <x:c r="D2" s="159"/>
      <x:c r="E2" s="159"/>
      <x:c r="F2" s="159"/>
    </x:row>
    <x:row r="3" ht="17.08984375" hidden="0" customHeight="1">
      <x:c r="A3" s="163" t="str">
        <x:v>NIVEL</x:v>
      </x:c>
      <x:c r="B3" s="163" t="str">
        <x:v>NOMBRE</x:v>
      </x:c>
      <x:c r="C3" s="163" t="str">
        <x:v>CONFIGURACIÓN CLAVE</x:v>
      </x:c>
      <x:c r="D3" s="163"/>
      <x:c r="E3" s="163"/>
      <x:c r="F3" s="163"/>
    </x:row>
    <x:row r="4" ht="102.5390625" hidden="0" customHeight="1">
      <x:c r="A4" s="174" t="str">
        <x:v>CAMPAÑA</x:v>
      </x:c>
      <x:c r="B4" s="175" t="str">
        <x:v>CUMPLO_INV_TOKEN_Q1</x:v>
      </x:c>
      <x:c r="C4" s="175" t="str">
        <x:v>Tipo: Lead Generation · Objetivo: Conversión · Presupuesto: CBO $40.000/día · Estrategia: Costo por resultado mínimo</x:v>
      </x:c>
      <x:c r="D4" s="175"/>
      <x:c r="E4" s="175"/>
      <x:c r="F4" s="176"/>
    </x:row>
    <x:row r="5" ht="136.71875" hidden="0" customHeight="1">
      <x:c r="A5" s="177" t="str">
        <x:v>CONJUNTO</x:v>
      </x:c>
      <x:c r="B5" s="178" t="str">
        <x:v>ADSet_Conservador_Chile</x:v>
      </x:c>
      <x:c r="C5" s="178" t="str">
        <x:v>Segmentación: interés en ahorro, DAP, fondos mutuos, finanzas personales · Edad: 25–45 · Ubicación: Chile · Placements: Feed + Stories · Optimización: Completar formulario</x:v>
      </x:c>
      <x:c r="D5" s="178"/>
      <x:c r="E5" s="178"/>
      <x:c r="F5" s="179"/>
    </x:row>
    <x:row r="6" ht="136.71875" hidden="0" customHeight="1">
      <x:c r="A6" s="180" t="str">
        <x:v>ANUNCIO</x:v>
      </x:c>
      <x:c r="B6" s="181" t="str">
        <x:v>AD_Token_Carrusel</x:v>
      </x:c>
      <x:c r="C6" s="181" t="str">
        <x:v>Formato: Carrusel educativo (3 tarjetas: qué es · cómo funciona · cuánto rinde) · Copy: “¿Quieres que tu dinero crezca solo?” · CTA: “Más información” → Landing Page · Pixel: activo con evento Lead</x:v>
      </x:c>
      <x:c r="D6" s="181"/>
      <x:c r="E6" s="181"/>
      <x:c r="F6" s="182"/>
    </x:row>
    <x:row r="7" ht="17.08984375" hidden="0" customHeight="1">
      <x:c r="A7" s="159"/>
      <x:c r="B7" s="159"/>
      <x:c r="C7" s="159"/>
      <x:c r="D7" s="159"/>
      <x:c r="E7" s="159"/>
      <x:c r="F7" s="159"/>
    </x:row>
    <x:row r="8" ht="34.1796875" hidden="0" customHeight="1">
      <x:c r="A8" s="161" t="str">
        <x:v>ESTRUCTURA EN META</x:v>
      </x:c>
      <x:c r="B8" s="161"/>
      <x:c r="C8" s="161"/>
      <x:c r="D8" s="161"/>
      <x:c r="E8" s="161"/>
      <x:c r="F8" s="161"/>
    </x:row>
    <x:row r="9" ht="17.08984375" hidden="0" customHeight="1">
      <x:c r="A9" s="159"/>
      <x:c r="B9" s="159"/>
      <x:c r="C9" s="159"/>
      <x:c r="D9" s="159"/>
      <x:c r="E9" s="159"/>
      <x:c r="F9" s="159"/>
    </x:row>
    <x:row r="10" ht="17.08984375" hidden="0" customHeight="1">
      <x:c r="A10" s="163" t="str">
        <x:v>NIVEL</x:v>
      </x:c>
      <x:c r="B10" s="163" t="str">
        <x:v>NOMBRE</x:v>
      </x:c>
      <x:c r="C10" s="163" t="str">
        <x:v>CONFIGURACIÓN CLAVE</x:v>
      </x:c>
      <x:c r="D10" s="163"/>
      <x:c r="E10" s="163"/>
      <x:c r="F10" s="163"/>
    </x:row>
    <x:row r="11" ht="102.5390625" hidden="0" customHeight="1">
      <x:c r="A11" s="174" t="str">
        <x:v>CAMPAÑA</x:v>
      </x:c>
      <x:c r="B11" s="175" t="str">
        <x:v>CUMPLO_INV_DIRECTA_Q1</x:v>
      </x:c>
      <x:c r="C11" s="175" t="str">
        <x:v>Tipo: Lead Generation · Objetivo: Conversión · Presupuesto: CBO $50.000/día · Estrategia: Costo por resultado mínimo</x:v>
      </x:c>
      <x:c r="D11" s="175"/>
      <x:c r="E11" s="175"/>
      <x:c r="F11" s="176"/>
    </x:row>
    <x:row r="12" ht="119.62890625" hidden="0" customHeight="1">
      <x:c r="A12" s="177" t="str">
        <x:v>CONJUNTO</x:v>
      </x:c>
      <x:c r="B12" s="178" t="str">
        <x:v>ADSet_Sofisticado_Chile</x:v>
      </x:c>
      <x:c r="C12" s="178" t="str">
        <x:v>Segmentación: interés en inversión, finanzas, bolsa · Edad: 28–50 · Ubicación: Santiago, Viña, Concepción · Placements: Feed + Reels · Optimización: Completar formulario</x:v>
      </x:c>
      <x:c r="D12" s="178"/>
      <x:c r="E12" s="178"/>
      <x:c r="F12" s="179"/>
    </x:row>
    <x:row r="13" ht="102.5390625" hidden="0" customHeight="1">
      <x:c r="A13" s="180" t="str">
        <x:v>ANUNCIO</x:v>
      </x:c>
      <x:c r="B13" s="181" t="str">
        <x:v>AD_Directa_Carrusel</x:v>
      </x:c>
      <x:c r="C13" s="181" t="str">
        <x:v>Formato: Carrusel + Reels · Copy: “¿Tu plata está parada en el banco?” · CTA: “Más información” → Landing Page · Pixel: activo con evento Lead</x:v>
      </x:c>
      <x:c r="D13" s="181"/>
      <x:c r="E13" s="181"/>
      <x:c r="F13" s="182"/>
    </x:row>
    <x:row r="14" ht="17.08984375" hidden="0" customHeight="1">
      <x:c r="A14" s="159"/>
      <x:c r="B14" s="159"/>
      <x:c r="C14" s="159"/>
      <x:c r="D14" s="159"/>
      <x:c r="E14" s="159"/>
      <x:c r="F14" s="159"/>
    </x:row>
    <x:row r="15" ht="17.08984375" hidden="0" customHeight="1">
      <x:c r="A15" s="159"/>
      <x:c r="B15" s="159"/>
      <x:c r="C15" s="159"/>
      <x:c r="D15" s="159"/>
      <x:c r="E15" s="159"/>
      <x:c r="F15" s="159"/>
    </x:row>
    <x:row r="16" ht="17.08984375" hidden="0" customHeight="1">
      <x:c r="A16" s="159"/>
      <x:c r="B16" s="159"/>
      <x:c r="C16" s="159"/>
      <x:c r="D16" s="159"/>
      <x:c r="E16" s="159"/>
      <x:c r="F16" s="159"/>
    </x:row>
  </x:sheetData>
  <x:mergeCells>
    <x:mergeCell ref="A1:F1"/>
    <x:mergeCell ref="A8:F8"/>
  </x:mergeCells>
  <x:pageMargins left="0.7" right="0.7" top="0.75" bottom="0.75" header="0.3" footer="0.3"/>
</x:worksheet>
</file>